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kesh\Documents\"/>
    </mc:Choice>
  </mc:AlternateContent>
  <xr:revisionPtr revIDLastSave="0" documentId="13_ncr:1_{A4250B75-88EB-4C31-9EA3-90BA5F2199D9}" xr6:coauthVersionLast="47" xr6:coauthVersionMax="47" xr10:uidLastSave="{00000000-0000-0000-0000-000000000000}"/>
  <bookViews>
    <workbookView xWindow="-108" yWindow="-108" windowWidth="23256" windowHeight="12456" activeTab="3" xr2:uid="{A87D2150-0CA5-4D80-A36F-A19304722B4B}"/>
  </bookViews>
  <sheets>
    <sheet name="Employee Master" sheetId="1" r:id="rId1"/>
    <sheet name="Attendance Sheet" sheetId="2" r:id="rId2"/>
    <sheet name="Leave Tracker" sheetId="3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" i="4" l="1"/>
  <c r="H12" i="4"/>
  <c r="H11" i="4"/>
  <c r="H10" i="4"/>
  <c r="H9" i="4"/>
  <c r="E12" i="4"/>
  <c r="E11" i="4"/>
  <c r="E10" i="4"/>
  <c r="E9" i="4"/>
  <c r="B18" i="4"/>
  <c r="B17" i="4"/>
  <c r="B16" i="4"/>
  <c r="B15" i="4"/>
  <c r="B14" i="4"/>
  <c r="B13" i="4"/>
  <c r="B12" i="4"/>
  <c r="B11" i="4"/>
  <c r="B10" i="4"/>
  <c r="B9" i="4"/>
  <c r="A18" i="4"/>
  <c r="A17" i="4"/>
  <c r="A16" i="4"/>
  <c r="A15" i="4"/>
  <c r="A14" i="4"/>
  <c r="A13" i="4"/>
  <c r="A12" i="4"/>
  <c r="A11" i="4"/>
  <c r="A10" i="4"/>
  <c r="A9" i="4"/>
  <c r="H5" i="4"/>
  <c r="F5" i="4"/>
  <c r="AO13" i="2"/>
  <c r="AO12" i="2"/>
  <c r="AO11" i="2"/>
  <c r="AO10" i="2"/>
  <c r="AO9" i="2"/>
  <c r="AO8" i="2"/>
  <c r="AO7" i="2"/>
  <c r="AO6" i="2"/>
  <c r="AO5" i="2"/>
  <c r="AO4" i="2"/>
  <c r="D5" i="4" s="1"/>
  <c r="B5" i="4"/>
  <c r="P14" i="3"/>
  <c r="O14" i="3"/>
  <c r="M14" i="3"/>
  <c r="K14" i="3"/>
  <c r="H14" i="3"/>
  <c r="E14" i="3"/>
  <c r="I4" i="3"/>
  <c r="Q13" i="3"/>
  <c r="Q12" i="3"/>
  <c r="Q11" i="3"/>
  <c r="Q10" i="3"/>
  <c r="Q9" i="3"/>
  <c r="Q8" i="3"/>
  <c r="Q7" i="3"/>
  <c r="Q6" i="3"/>
  <c r="Q5" i="3"/>
  <c r="Q4" i="3"/>
  <c r="P13" i="3"/>
  <c r="P12" i="3"/>
  <c r="P11" i="3"/>
  <c r="P10" i="3"/>
  <c r="P9" i="3"/>
  <c r="P8" i="3"/>
  <c r="P7" i="3"/>
  <c r="P6" i="3"/>
  <c r="P5" i="3"/>
  <c r="O13" i="3"/>
  <c r="O12" i="3"/>
  <c r="O11" i="3"/>
  <c r="O10" i="3"/>
  <c r="O9" i="3"/>
  <c r="O8" i="3"/>
  <c r="O7" i="3"/>
  <c r="O6" i="3"/>
  <c r="O5" i="3"/>
  <c r="N13" i="3"/>
  <c r="N12" i="3"/>
  <c r="N11" i="3"/>
  <c r="N10" i="3"/>
  <c r="N9" i="3"/>
  <c r="N8" i="3"/>
  <c r="N7" i="3"/>
  <c r="N6" i="3"/>
  <c r="N5" i="3"/>
  <c r="P4" i="3"/>
  <c r="O4" i="3"/>
  <c r="N4" i="3"/>
  <c r="L13" i="3"/>
  <c r="L12" i="3"/>
  <c r="L11" i="3"/>
  <c r="L10" i="3"/>
  <c r="L9" i="3"/>
  <c r="L8" i="3"/>
  <c r="L7" i="3"/>
  <c r="L6" i="3"/>
  <c r="L5" i="3"/>
  <c r="I13" i="3"/>
  <c r="I12" i="3"/>
  <c r="I11" i="3"/>
  <c r="I10" i="3"/>
  <c r="I9" i="3"/>
  <c r="I8" i="3"/>
  <c r="I7" i="3"/>
  <c r="I6" i="3"/>
  <c r="I5" i="3"/>
  <c r="F13" i="3"/>
  <c r="F12" i="3"/>
  <c r="F11" i="3"/>
  <c r="F10" i="3"/>
  <c r="F9" i="3"/>
  <c r="F8" i="3"/>
  <c r="F7" i="3"/>
  <c r="F6" i="3"/>
  <c r="F5" i="3"/>
  <c r="L4" i="3"/>
  <c r="F4" i="3"/>
  <c r="M13" i="3"/>
  <c r="M12" i="3"/>
  <c r="M11" i="3"/>
  <c r="M10" i="3"/>
  <c r="M9" i="3"/>
  <c r="M8" i="3"/>
  <c r="M7" i="3"/>
  <c r="M6" i="3"/>
  <c r="M5" i="3"/>
  <c r="K13" i="3"/>
  <c r="K12" i="3"/>
  <c r="K11" i="3"/>
  <c r="K10" i="3"/>
  <c r="K9" i="3"/>
  <c r="K8" i="3"/>
  <c r="K7" i="3"/>
  <c r="K6" i="3"/>
  <c r="K5" i="3"/>
  <c r="H13" i="3"/>
  <c r="H12" i="3"/>
  <c r="H11" i="3"/>
  <c r="H10" i="3"/>
  <c r="H9" i="3"/>
  <c r="H8" i="3"/>
  <c r="H7" i="3"/>
  <c r="H6" i="3"/>
  <c r="H5" i="3"/>
  <c r="E13" i="3"/>
  <c r="E12" i="3"/>
  <c r="E11" i="3"/>
  <c r="E10" i="3"/>
  <c r="E9" i="3"/>
  <c r="E8" i="3"/>
  <c r="E7" i="3"/>
  <c r="E6" i="3"/>
  <c r="E5" i="3"/>
  <c r="M4" i="3"/>
  <c r="K4" i="3"/>
  <c r="H4" i="3"/>
  <c r="E4" i="3"/>
  <c r="C4" i="3"/>
  <c r="C13" i="3"/>
  <c r="B13" i="3"/>
  <c r="A13" i="3"/>
  <c r="C12" i="3"/>
  <c r="B12" i="3"/>
  <c r="A12" i="3"/>
  <c r="C11" i="3"/>
  <c r="B11" i="3"/>
  <c r="A11" i="3"/>
  <c r="C10" i="3"/>
  <c r="B10" i="3"/>
  <c r="A10" i="3"/>
  <c r="C9" i="3"/>
  <c r="B9" i="3"/>
  <c r="A9" i="3"/>
  <c r="C8" i="3"/>
  <c r="B8" i="3"/>
  <c r="A8" i="3"/>
  <c r="C7" i="3"/>
  <c r="B7" i="3"/>
  <c r="A7" i="3"/>
  <c r="C6" i="3"/>
  <c r="B6" i="3"/>
  <c r="A6" i="3"/>
  <c r="C5" i="3"/>
  <c r="B5" i="3"/>
  <c r="A5" i="3"/>
  <c r="B4" i="3"/>
  <c r="A4" i="3"/>
  <c r="AI4" i="2"/>
  <c r="AM13" i="2"/>
  <c r="AL13" i="2"/>
  <c r="AK13" i="2"/>
  <c r="AJ13" i="2"/>
  <c r="AI13" i="2"/>
  <c r="AM12" i="2"/>
  <c r="AL12" i="2"/>
  <c r="AK12" i="2"/>
  <c r="AJ12" i="2"/>
  <c r="AI12" i="2"/>
  <c r="AM11" i="2"/>
  <c r="AL11" i="2"/>
  <c r="AK11" i="2"/>
  <c r="AJ11" i="2"/>
  <c r="AI11" i="2"/>
  <c r="AM10" i="2"/>
  <c r="AL10" i="2"/>
  <c r="AK10" i="2"/>
  <c r="AJ10" i="2"/>
  <c r="AI10" i="2"/>
  <c r="AM9" i="2"/>
  <c r="AL9" i="2"/>
  <c r="AK9" i="2"/>
  <c r="AJ9" i="2"/>
  <c r="AI9" i="2"/>
  <c r="AM8" i="2"/>
  <c r="AL8" i="2"/>
  <c r="AK8" i="2"/>
  <c r="AJ8" i="2"/>
  <c r="AI8" i="2"/>
  <c r="AM7" i="2"/>
  <c r="AL7" i="2"/>
  <c r="AK7" i="2"/>
  <c r="AJ7" i="2"/>
  <c r="AI7" i="2"/>
  <c r="AM6" i="2"/>
  <c r="AL6" i="2"/>
  <c r="AK6" i="2"/>
  <c r="AJ6" i="2"/>
  <c r="AI6" i="2"/>
  <c r="AM5" i="2"/>
  <c r="AL5" i="2"/>
  <c r="AK5" i="2"/>
  <c r="AJ5" i="2"/>
  <c r="AI5" i="2"/>
  <c r="AM4" i="2"/>
  <c r="AL4" i="2"/>
  <c r="AK4" i="2"/>
  <c r="AJ4" i="2"/>
  <c r="C4" i="2"/>
  <c r="C13" i="2"/>
  <c r="B13" i="2"/>
  <c r="A13" i="2"/>
  <c r="C12" i="2"/>
  <c r="B12" i="2"/>
  <c r="A12" i="2"/>
  <c r="C11" i="2"/>
  <c r="B11" i="2"/>
  <c r="A11" i="2"/>
  <c r="C10" i="2"/>
  <c r="B10" i="2"/>
  <c r="A10" i="2"/>
  <c r="C9" i="2"/>
  <c r="B9" i="2"/>
  <c r="A9" i="2"/>
  <c r="C8" i="2"/>
  <c r="B8" i="2"/>
  <c r="A8" i="2"/>
  <c r="C7" i="2"/>
  <c r="B7" i="2"/>
  <c r="A7" i="2"/>
  <c r="C6" i="2"/>
  <c r="B6" i="2"/>
  <c r="A6" i="2"/>
  <c r="C5" i="2"/>
  <c r="B5" i="2"/>
  <c r="A5" i="2"/>
  <c r="B4" i="2"/>
  <c r="A4" i="2"/>
  <c r="A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N8" i="2" l="1"/>
  <c r="AN13" i="2"/>
  <c r="AN12" i="2"/>
  <c r="AN11" i="2"/>
  <c r="AN10" i="2"/>
  <c r="AN9" i="2"/>
  <c r="AN7" i="2"/>
  <c r="AN6" i="2"/>
  <c r="AN5" i="2"/>
  <c r="AN4" i="2"/>
</calcChain>
</file>

<file path=xl/sharedStrings.xml><?xml version="1.0" encoding="utf-8"?>
<sst xmlns="http://schemas.openxmlformats.org/spreadsheetml/2006/main" count="345" uniqueCount="117">
  <si>
    <t>Sri Narayani Hospital — Employee Master List</t>
  </si>
  <si>
    <t>Employee ID</t>
  </si>
  <si>
    <t>Employee Name</t>
  </si>
  <si>
    <t>Department</t>
  </si>
  <si>
    <t>Designation</t>
  </si>
  <si>
    <t>Date of Joining</t>
  </si>
  <si>
    <t>Contact Number</t>
  </si>
  <si>
    <t>Email ID</t>
  </si>
  <si>
    <t>Employment Type</t>
  </si>
  <si>
    <t>Reporting Manager</t>
  </si>
  <si>
    <t>Status</t>
  </si>
  <si>
    <t>Ramya S</t>
  </si>
  <si>
    <t>Nursing</t>
  </si>
  <si>
    <t>Staff Nurse</t>
  </si>
  <si>
    <t>ramya.s@snhrc.in</t>
  </si>
  <si>
    <t>Permanent</t>
  </si>
  <si>
    <t>Dr. Priya R</t>
  </si>
  <si>
    <t>Active</t>
  </si>
  <si>
    <t>Karthik M</t>
  </si>
  <si>
    <t>Lab</t>
  </si>
  <si>
    <t>Lab Technician</t>
  </si>
  <si>
    <t>karthik.m@snhrc.in</t>
  </si>
  <si>
    <t>Dr. Ramesh K</t>
  </si>
  <si>
    <t>Preethi N</t>
  </si>
  <si>
    <t>HR</t>
  </si>
  <si>
    <t>HR Executive</t>
  </si>
  <si>
    <t>preethi.n@snhrc.in</t>
  </si>
  <si>
    <t>Mrs. Anitha</t>
  </si>
  <si>
    <t>Suresh P</t>
  </si>
  <si>
    <t>Accounts</t>
  </si>
  <si>
    <t>Accountant</t>
  </si>
  <si>
    <t>suresh.p@snhrc.in</t>
  </si>
  <si>
    <t>Mr. Vijay</t>
  </si>
  <si>
    <t>Anbu K</t>
  </si>
  <si>
    <t>Security</t>
  </si>
  <si>
    <t>Security Guard</t>
  </si>
  <si>
    <t>anbu.k@snhrc.in</t>
  </si>
  <si>
    <t>Contract</t>
  </si>
  <si>
    <t>Mr. Suresh</t>
  </si>
  <si>
    <t>Meena R</t>
  </si>
  <si>
    <t>Pharmacy</t>
  </si>
  <si>
    <t>Pharmacist</t>
  </si>
  <si>
    <t>meena.r@snhrc.in</t>
  </si>
  <si>
    <t>Dr. Kavitha</t>
  </si>
  <si>
    <t>Vijay T</t>
  </si>
  <si>
    <t>Housekeeping</t>
  </si>
  <si>
    <t>Housekeeping Staff</t>
  </si>
  <si>
    <t>vijay.t@snhrc.in</t>
  </si>
  <si>
    <t>Mr. Karthik</t>
  </si>
  <si>
    <t>Divya L</t>
  </si>
  <si>
    <t>Administration</t>
  </si>
  <si>
    <t>Admin Officer</t>
  </si>
  <si>
    <t>divya.l@snhrc.in</t>
  </si>
  <si>
    <t>Mrs. Meena</t>
  </si>
  <si>
    <t>Arun B</t>
  </si>
  <si>
    <t>Senior Nurse</t>
  </si>
  <si>
    <t>arun.b@snhrc.in</t>
  </si>
  <si>
    <t>Lakshmi V</t>
  </si>
  <si>
    <t>lakshmi.v@snhrc.in</t>
  </si>
  <si>
    <t>Probation</t>
  </si>
  <si>
    <t>Dr. Anitha S</t>
  </si>
  <si>
    <t>Sri Narayani Hospital — Monthly Attendance Sheet</t>
  </si>
  <si>
    <t>Month:</t>
  </si>
  <si>
    <t>May</t>
  </si>
  <si>
    <t>Year:</t>
  </si>
  <si>
    <t>Emp ID</t>
  </si>
  <si>
    <t>Total P</t>
  </si>
  <si>
    <t>Total A</t>
  </si>
  <si>
    <t>Total L</t>
  </si>
  <si>
    <t>Total H</t>
  </si>
  <si>
    <t>Total WO</t>
  </si>
  <si>
    <t>Working Days</t>
  </si>
  <si>
    <t>Attendance %</t>
  </si>
  <si>
    <t>P</t>
  </si>
  <si>
    <t>WO</t>
  </si>
  <si>
    <t>H</t>
  </si>
  <si>
    <t>L</t>
  </si>
  <si>
    <t>A</t>
  </si>
  <si>
    <t>LEGEND:</t>
  </si>
  <si>
    <t>P = Present</t>
  </si>
  <si>
    <t>A = Absent</t>
  </si>
  <si>
    <t>L = Leave</t>
  </si>
  <si>
    <t>H = Holiday</t>
  </si>
  <si>
    <t>WO = Week Off</t>
  </si>
  <si>
    <t>Sri Narayani Hospital — Employee Leave Tracker 2025</t>
  </si>
  <si>
    <t>Leave Year: January 2025 — December 2025</t>
  </si>
  <si>
    <t>CL Allowed</t>
  </si>
  <si>
    <t>CL Used</t>
  </si>
  <si>
    <t>CL Balance</t>
  </si>
  <si>
    <t>SL Allowed</t>
  </si>
  <si>
    <t>SL Used</t>
  </si>
  <si>
    <t>SL Balance</t>
  </si>
  <si>
    <t>EL Allowed</t>
  </si>
  <si>
    <t>EL Used</t>
  </si>
  <si>
    <t>EL Balance</t>
  </si>
  <si>
    <t>LOP Days</t>
  </si>
  <si>
    <t>Total Leave Allowed</t>
  </si>
  <si>
    <t>Total Leave Used</t>
  </si>
  <si>
    <t>Total Balance</t>
  </si>
  <si>
    <t>Leave Status</t>
  </si>
  <si>
    <t>Remarks</t>
  </si>
  <si>
    <t>DEPARTMENT TOTAL</t>
  </si>
  <si>
    <t>Leave Policy Reference</t>
  </si>
  <si>
    <t>Casual Leave (CL): 12 days/year | Sick Leave (SL): 12 days/year | Earned Leave (EL): 15 days/year | LOP: Deducted from salary</t>
  </si>
  <si>
    <t>Sri Narayani Hospital — Attendance &amp; Leave Dashboard 2025</t>
  </si>
  <si>
    <t>Auto-updated Summary | Data pulled from Attendance Sheet &amp; Leave Tracker</t>
  </si>
  <si>
    <t>TOTAL EMPLOYEES</t>
  </si>
  <si>
    <t>AVG ATTENDANCE %</t>
  </si>
  <si>
    <t>TOTAL LEAVES USED</t>
  </si>
  <si>
    <t>TOTAL LOP DAYS</t>
  </si>
  <si>
    <t>Leave Type</t>
  </si>
  <si>
    <t>Days Used</t>
  </si>
  <si>
    <t>Casual Leave</t>
  </si>
  <si>
    <t>Sick Leave</t>
  </si>
  <si>
    <t>Earned Leave</t>
  </si>
  <si>
    <t>Loss of Pay</t>
  </si>
  <si>
    <t>Avg Attendance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</si>
</sst>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5" tint="-0.249977111117893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2"/>
      <color theme="5"/>
      <name val="Calibri"/>
      <family val="2"/>
      <scheme val="minor"/>
    </font>
    <font>
      <i/>
      <sz val="10"/>
      <color theme="1" tint="0.499984740745262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28"/>
      <color rgb="FF7030A0"/>
      <name val="Calibri"/>
      <family val="2"/>
      <scheme val="minor"/>
    </font>
    <font>
      <b/>
      <sz val="22"/>
      <color theme="9" tint="-0.499984740745262"/>
      <name val="Calibri"/>
      <family val="2"/>
      <scheme val="minor"/>
    </font>
    <font>
      <b/>
      <sz val="28"/>
      <color theme="5" tint="-0.249977111117893"/>
      <name val="Calibri"/>
      <family val="2"/>
      <scheme val="minor"/>
    </font>
    <font>
      <b/>
      <sz val="28"/>
      <color rgb="FFC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9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0" xfId="0" applyFont="1" applyFill="1" applyAlignment="1">
      <alignment horizontal="center"/>
    </xf>
    <xf numFmtId="14" fontId="0" fillId="0" borderId="0" xfId="0" applyNumberFormat="1"/>
    <xf numFmtId="0" fontId="1" fillId="3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0" fontId="4" fillId="4" borderId="0" xfId="0" applyFont="1" applyFill="1" applyAlignment="1">
      <alignment horizontal="center"/>
    </xf>
    <xf numFmtId="0" fontId="2" fillId="0" borderId="0" xfId="0" applyFont="1"/>
    <xf numFmtId="0" fontId="5" fillId="0" borderId="0" xfId="0" applyFont="1"/>
    <xf numFmtId="0" fontId="1" fillId="5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8" borderId="0" xfId="0" applyFill="1"/>
    <xf numFmtId="0" fontId="6" fillId="0" borderId="0" xfId="0" applyFont="1"/>
    <xf numFmtId="0" fontId="6" fillId="9" borderId="0" xfId="0" applyFont="1" applyFill="1"/>
    <xf numFmtId="0" fontId="0" fillId="6" borderId="0" xfId="0" applyFill="1"/>
    <xf numFmtId="0" fontId="0" fillId="2" borderId="0" xfId="0" applyFill="1"/>
    <xf numFmtId="0" fontId="6" fillId="10" borderId="0" xfId="0" applyFont="1" applyFill="1"/>
    <xf numFmtId="0" fontId="7" fillId="11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" fillId="12" borderId="0" xfId="0" applyFont="1" applyFill="1"/>
    <xf numFmtId="0" fontId="1" fillId="12" borderId="1" xfId="0" applyFont="1" applyFill="1" applyBorder="1" applyAlignment="1">
      <alignment horizontal="center"/>
    </xf>
    <xf numFmtId="0" fontId="0" fillId="11" borderId="1" xfId="0" applyFill="1" applyBorder="1"/>
    <xf numFmtId="0" fontId="2" fillId="11" borderId="1" xfId="0" applyFont="1" applyFill="1" applyBorder="1"/>
    <xf numFmtId="0" fontId="9" fillId="0" borderId="0" xfId="0" applyFont="1"/>
    <xf numFmtId="0" fontId="10" fillId="0" borderId="0" xfId="0" applyFont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" fillId="13" borderId="0" xfId="0" applyFont="1" applyFill="1" applyAlignment="1">
      <alignment horizontal="center"/>
    </xf>
    <xf numFmtId="169" fontId="2" fillId="4" borderId="1" xfId="0" applyNumberFormat="1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6" fillId="0" borderId="0" xfId="0" applyFont="1" applyAlignment="1">
      <alignment vertical="center" wrapText="1"/>
    </xf>
    <xf numFmtId="0" fontId="1" fillId="14" borderId="0" xfId="0" applyFont="1" applyFill="1"/>
    <xf numFmtId="0" fontId="0" fillId="16" borderId="5" xfId="0" applyFill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b/>
        <i val="0"/>
        <color rgb="FFC00000"/>
      </font>
      <fill>
        <patternFill>
          <bgColor theme="5" tint="-0.24994659260841701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5" tint="-0.24994659260841701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39994506668294322"/>
        </patternFill>
      </fill>
    </dxf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39994506668294322"/>
        </patternFill>
      </fill>
    </dxf>
    <dxf>
      <font>
        <b/>
        <i val="0"/>
        <color theme="5" tint="-0.24994659260841701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theme="8" tint="0.79998168889431442"/>
        </patternFill>
      </fill>
    </dxf>
    <dxf>
      <font>
        <b/>
        <i val="0"/>
        <color theme="1" tint="0.499984740745262"/>
      </font>
      <fill>
        <patternFill>
          <bgColor theme="2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Employee-wise Attendance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Attendance %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Dashboard!$A$9:$A$18</c:f>
              <c:strCache>
                <c:ptCount val="10"/>
                <c:pt idx="0">
                  <c:v>Ramya S</c:v>
                </c:pt>
                <c:pt idx="1">
                  <c:v>Karthik M</c:v>
                </c:pt>
                <c:pt idx="2">
                  <c:v>Preethi N</c:v>
                </c:pt>
                <c:pt idx="3">
                  <c:v>Suresh P</c:v>
                </c:pt>
                <c:pt idx="4">
                  <c:v>Anbu K</c:v>
                </c:pt>
                <c:pt idx="5">
                  <c:v>Meena R</c:v>
                </c:pt>
                <c:pt idx="6">
                  <c:v>Vijay T</c:v>
                </c:pt>
                <c:pt idx="7">
                  <c:v>Divya L</c:v>
                </c:pt>
                <c:pt idx="8">
                  <c:v>Arun B</c:v>
                </c:pt>
                <c:pt idx="9">
                  <c:v>Lakshmi V</c:v>
                </c:pt>
              </c:strCache>
            </c:strRef>
          </c:cat>
          <c:val>
            <c:numRef>
              <c:f>Dashboard!$B$9:$B$18</c:f>
              <c:numCache>
                <c:formatCode>General</c:formatCode>
                <c:ptCount val="10"/>
                <c:pt idx="0">
                  <c:v>93.3</c:v>
                </c:pt>
                <c:pt idx="1">
                  <c:v>100</c:v>
                </c:pt>
                <c:pt idx="2">
                  <c:v>93.3</c:v>
                </c:pt>
                <c:pt idx="3">
                  <c:v>100</c:v>
                </c:pt>
                <c:pt idx="4">
                  <c:v>93.3</c:v>
                </c:pt>
                <c:pt idx="5">
                  <c:v>100</c:v>
                </c:pt>
                <c:pt idx="6">
                  <c:v>86.7</c:v>
                </c:pt>
                <c:pt idx="7">
                  <c:v>100</c:v>
                </c:pt>
                <c:pt idx="8">
                  <c:v>93.3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9-4CD4-AD32-A3CE30A45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5075728"/>
        <c:axId val="1645076688"/>
      </c:barChart>
      <c:catAx>
        <c:axId val="1645075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076688"/>
        <c:crosses val="autoZero"/>
        <c:auto val="1"/>
        <c:lblAlgn val="ctr"/>
        <c:lblOffset val="100"/>
        <c:noMultiLvlLbl val="0"/>
      </c:catAx>
      <c:valAx>
        <c:axId val="164507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07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Leave Type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Dashboard!$E$8</c:f>
              <c:strCache>
                <c:ptCount val="1"/>
                <c:pt idx="0">
                  <c:v>Days Used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2-4157-948A-6C1CE23A97BA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C22-4157-948A-6C1CE23A97B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Dashboard!$D$9:$D$12</c:f>
              <c:strCache>
                <c:ptCount val="4"/>
                <c:pt idx="0">
                  <c:v>Casual Leave</c:v>
                </c:pt>
                <c:pt idx="1">
                  <c:v>Sick Leave</c:v>
                </c:pt>
                <c:pt idx="2">
                  <c:v>Earned Leave</c:v>
                </c:pt>
                <c:pt idx="3">
                  <c:v>Loss of Pay</c:v>
                </c:pt>
              </c:strCache>
            </c:strRef>
          </c:cat>
          <c:val>
            <c:numRef>
              <c:f>Dashboard!$E$9:$E$12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2-4157-948A-6C1CE23A9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Department-wise Attendance %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Dashboard!$H$8</c:f>
              <c:strCache>
                <c:ptCount val="1"/>
                <c:pt idx="0">
                  <c:v>Avg Attendance %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Dashboard!$G$9:$G$13</c:f>
              <c:strCache>
                <c:ptCount val="5"/>
                <c:pt idx="0">
                  <c:v>Administration</c:v>
                </c:pt>
                <c:pt idx="1">
                  <c:v>HR</c:v>
                </c:pt>
                <c:pt idx="2">
                  <c:v>Nursing</c:v>
                </c:pt>
                <c:pt idx="3">
                  <c:v>Lab</c:v>
                </c:pt>
                <c:pt idx="4">
                  <c:v>Pharmacy</c:v>
                </c:pt>
              </c:strCache>
            </c:strRef>
          </c:cat>
          <c:val>
            <c:numRef>
              <c:f>Dashboard!$H$9:$H$13</c:f>
              <c:numCache>
                <c:formatCode>General</c:formatCode>
                <c:ptCount val="5"/>
                <c:pt idx="0">
                  <c:v>100</c:v>
                </c:pt>
                <c:pt idx="1">
                  <c:v>93.3</c:v>
                </c:pt>
                <c:pt idx="2">
                  <c:v>93.3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9-44F7-805A-3F4C9307C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6046496"/>
        <c:axId val="1456053216"/>
      </c:barChart>
      <c:catAx>
        <c:axId val="145604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053216"/>
        <c:crosses val="autoZero"/>
        <c:auto val="1"/>
        <c:lblAlgn val="ctr"/>
        <c:lblOffset val="100"/>
        <c:noMultiLvlLbl val="0"/>
      </c:catAx>
      <c:valAx>
        <c:axId val="145605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04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179070</xdr:rowOff>
    </xdr:from>
    <xdr:to>
      <xdr:col>8</xdr:col>
      <xdr:colOff>0</xdr:colOff>
      <xdr:row>36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99CB79-E647-375C-590F-C5B9189B11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171450</xdr:rowOff>
    </xdr:from>
    <xdr:to>
      <xdr:col>16</xdr:col>
      <xdr:colOff>304800</xdr:colOff>
      <xdr:row>34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5AAA8-C61E-68DA-425C-FCBD2FF43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601980</xdr:colOff>
      <xdr:row>19</xdr:row>
      <xdr:rowOff>171450</xdr:rowOff>
    </xdr:from>
    <xdr:to>
      <xdr:col>24</xdr:col>
      <xdr:colOff>297180</xdr:colOff>
      <xdr:row>34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67CF89-F9EF-18E9-BE04-36CEBB184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D6F0-FC8D-4626-8153-30B44EE103E1}">
  <sheetPr>
    <tabColor theme="4"/>
  </sheetPr>
  <dimension ref="A1:J22"/>
  <sheetViews>
    <sheetView workbookViewId="0">
      <pane ySplit="2" topLeftCell="A3" activePane="bottomLeft" state="frozen"/>
      <selection pane="bottomLeft" activeCell="H13" sqref="H13"/>
    </sheetView>
  </sheetViews>
  <sheetFormatPr defaultRowHeight="14.4"/>
  <cols>
    <col min="1" max="4" width="18.77734375" customWidth="1"/>
    <col min="5" max="5" width="18.77734375" style="2" customWidth="1"/>
    <col min="6" max="10" width="18.77734375" customWidth="1"/>
  </cols>
  <sheetData>
    <row r="1" spans="1:10" ht="34.950000000000003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25.05" customHeight="1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A3" s="7" t="str">
        <f>"EMP"&amp;TEXT(ROW()-2,"000")</f>
        <v>EMP001</v>
      </c>
      <c r="B3" s="7" t="s">
        <v>11</v>
      </c>
      <c r="C3" s="7" t="s">
        <v>12</v>
      </c>
      <c r="D3" s="7" t="s">
        <v>13</v>
      </c>
      <c r="E3" s="8">
        <v>43983</v>
      </c>
      <c r="F3" s="7">
        <v>9876501234</v>
      </c>
      <c r="G3" s="7" t="s">
        <v>14</v>
      </c>
      <c r="H3" s="7" t="s">
        <v>15</v>
      </c>
      <c r="I3" s="7" t="s">
        <v>16</v>
      </c>
      <c r="J3" s="7" t="s">
        <v>17</v>
      </c>
    </row>
    <row r="4" spans="1:10">
      <c r="A4" s="5" t="str">
        <f t="shared" ref="A4:A22" si="0">"EMP"&amp;TEXT(ROW()-2,"000")</f>
        <v>EMP002</v>
      </c>
      <c r="B4" s="5" t="s">
        <v>18</v>
      </c>
      <c r="C4" s="5" t="s">
        <v>19</v>
      </c>
      <c r="D4" s="5" t="s">
        <v>20</v>
      </c>
      <c r="E4" s="6">
        <v>43692</v>
      </c>
      <c r="F4" s="5">
        <v>9865412303</v>
      </c>
      <c r="G4" s="5" t="s">
        <v>21</v>
      </c>
      <c r="H4" s="5" t="s">
        <v>15</v>
      </c>
      <c r="I4" s="5" t="s">
        <v>22</v>
      </c>
      <c r="J4" s="5" t="s">
        <v>17</v>
      </c>
    </row>
    <row r="5" spans="1:10">
      <c r="A5" s="7" t="str">
        <f t="shared" si="0"/>
        <v>EMP003</v>
      </c>
      <c r="B5" s="7" t="s">
        <v>23</v>
      </c>
      <c r="C5" s="7" t="s">
        <v>24</v>
      </c>
      <c r="D5" s="7" t="s">
        <v>25</v>
      </c>
      <c r="E5" s="8">
        <v>44265</v>
      </c>
      <c r="F5" s="7">
        <v>9754123098</v>
      </c>
      <c r="G5" s="7" t="s">
        <v>26</v>
      </c>
      <c r="H5" s="7" t="s">
        <v>15</v>
      </c>
      <c r="I5" s="7" t="s">
        <v>27</v>
      </c>
      <c r="J5" s="7" t="s">
        <v>17</v>
      </c>
    </row>
    <row r="6" spans="1:10">
      <c r="A6" s="5" t="str">
        <f t="shared" si="0"/>
        <v>EMP004</v>
      </c>
      <c r="B6" s="5" t="s">
        <v>28</v>
      </c>
      <c r="C6" s="5" t="s">
        <v>29</v>
      </c>
      <c r="D6" s="5" t="s">
        <v>30</v>
      </c>
      <c r="E6" s="6">
        <v>43122</v>
      </c>
      <c r="F6" s="5">
        <v>9643201987</v>
      </c>
      <c r="G6" s="5" t="s">
        <v>31</v>
      </c>
      <c r="H6" s="5" t="s">
        <v>15</v>
      </c>
      <c r="I6" s="5" t="s">
        <v>32</v>
      </c>
      <c r="J6" s="5" t="s">
        <v>17</v>
      </c>
    </row>
    <row r="7" spans="1:10">
      <c r="A7" s="7" t="str">
        <f t="shared" si="0"/>
        <v>EMP005</v>
      </c>
      <c r="B7" s="7" t="s">
        <v>33</v>
      </c>
      <c r="C7" s="7" t="s">
        <v>34</v>
      </c>
      <c r="D7" s="7" t="s">
        <v>35</v>
      </c>
      <c r="E7" s="8">
        <v>44747</v>
      </c>
      <c r="F7" s="7">
        <v>9532098176</v>
      </c>
      <c r="G7" s="7" t="s">
        <v>36</v>
      </c>
      <c r="H7" s="7" t="s">
        <v>37</v>
      </c>
      <c r="I7" s="7" t="s">
        <v>38</v>
      </c>
      <c r="J7" s="7" t="s">
        <v>17</v>
      </c>
    </row>
    <row r="8" spans="1:10">
      <c r="A8" s="5" t="str">
        <f t="shared" si="0"/>
        <v>EMP006</v>
      </c>
      <c r="B8" s="5" t="s">
        <v>39</v>
      </c>
      <c r="C8" s="5" t="s">
        <v>40</v>
      </c>
      <c r="D8" s="5" t="s">
        <v>41</v>
      </c>
      <c r="E8" s="6">
        <v>44153</v>
      </c>
      <c r="F8" s="5">
        <v>9421087265</v>
      </c>
      <c r="G8" s="5" t="s">
        <v>42</v>
      </c>
      <c r="H8" s="5" t="s">
        <v>15</v>
      </c>
      <c r="I8" s="5" t="s">
        <v>43</v>
      </c>
      <c r="J8" s="5" t="s">
        <v>17</v>
      </c>
    </row>
    <row r="9" spans="1:10">
      <c r="A9" s="7" t="str">
        <f t="shared" si="0"/>
        <v>EMP007</v>
      </c>
      <c r="B9" s="7" t="s">
        <v>44</v>
      </c>
      <c r="C9" s="7" t="s">
        <v>45</v>
      </c>
      <c r="D9" s="7" t="s">
        <v>46</v>
      </c>
      <c r="E9" s="8">
        <v>44316</v>
      </c>
      <c r="F9" s="7">
        <v>9310976354</v>
      </c>
      <c r="G9" s="7" t="s">
        <v>47</v>
      </c>
      <c r="H9" s="7" t="s">
        <v>37</v>
      </c>
      <c r="I9" s="7" t="s">
        <v>48</v>
      </c>
      <c r="J9" s="7" t="s">
        <v>17</v>
      </c>
    </row>
    <row r="10" spans="1:10">
      <c r="A10" s="5" t="str">
        <f t="shared" si="0"/>
        <v>EMP008</v>
      </c>
      <c r="B10" s="5" t="s">
        <v>49</v>
      </c>
      <c r="C10" s="5" t="s">
        <v>50</v>
      </c>
      <c r="D10" s="5" t="s">
        <v>51</v>
      </c>
      <c r="E10" s="6">
        <v>43720</v>
      </c>
      <c r="F10" s="5">
        <v>9209865243</v>
      </c>
      <c r="G10" s="5" t="s">
        <v>52</v>
      </c>
      <c r="H10" s="5" t="s">
        <v>15</v>
      </c>
      <c r="I10" s="5" t="s">
        <v>53</v>
      </c>
      <c r="J10" s="5" t="s">
        <v>17</v>
      </c>
    </row>
    <row r="11" spans="1:10">
      <c r="A11" s="7" t="str">
        <f t="shared" si="0"/>
        <v>EMP009</v>
      </c>
      <c r="B11" s="7" t="s">
        <v>54</v>
      </c>
      <c r="C11" s="7" t="s">
        <v>12</v>
      </c>
      <c r="D11" s="7" t="s">
        <v>55</v>
      </c>
      <c r="E11" s="8">
        <v>44617</v>
      </c>
      <c r="F11" s="7">
        <v>9198754132</v>
      </c>
      <c r="G11" s="7" t="s">
        <v>56</v>
      </c>
      <c r="H11" s="7" t="s">
        <v>15</v>
      </c>
      <c r="I11" s="7" t="s">
        <v>16</v>
      </c>
      <c r="J11" s="7" t="s">
        <v>17</v>
      </c>
    </row>
    <row r="12" spans="1:10">
      <c r="A12" s="5" t="str">
        <f t="shared" si="0"/>
        <v>EMP010</v>
      </c>
      <c r="B12" s="5" t="s">
        <v>57</v>
      </c>
      <c r="C12" s="5" t="s">
        <v>19</v>
      </c>
      <c r="D12" s="5" t="s">
        <v>20</v>
      </c>
      <c r="E12" s="6">
        <v>45085</v>
      </c>
      <c r="F12" s="5">
        <v>9087643021</v>
      </c>
      <c r="G12" s="5" t="s">
        <v>58</v>
      </c>
      <c r="H12" s="5" t="s">
        <v>59</v>
      </c>
      <c r="I12" s="5" t="s">
        <v>60</v>
      </c>
      <c r="J12" s="5" t="s">
        <v>17</v>
      </c>
    </row>
    <row r="13" spans="1:10">
      <c r="A13" s="5" t="str">
        <f t="shared" si="0"/>
        <v>EMP011</v>
      </c>
      <c r="B13" s="5"/>
      <c r="C13" s="5"/>
      <c r="D13" s="5"/>
      <c r="E13" s="6"/>
      <c r="F13" s="5"/>
      <c r="G13" s="5"/>
      <c r="H13" s="5"/>
      <c r="I13" s="5"/>
      <c r="J13" s="5"/>
    </row>
    <row r="14" spans="1:10">
      <c r="A14" s="5" t="str">
        <f t="shared" si="0"/>
        <v>EMP012</v>
      </c>
      <c r="B14" s="5"/>
      <c r="C14" s="5"/>
      <c r="D14" s="5"/>
      <c r="E14" s="6"/>
      <c r="F14" s="5"/>
      <c r="G14" s="5"/>
      <c r="H14" s="5"/>
      <c r="I14" s="5"/>
      <c r="J14" s="5"/>
    </row>
    <row r="15" spans="1:10">
      <c r="A15" s="5" t="str">
        <f t="shared" si="0"/>
        <v>EMP013</v>
      </c>
      <c r="B15" s="5"/>
      <c r="C15" s="5"/>
      <c r="D15" s="5"/>
      <c r="E15" s="6"/>
      <c r="F15" s="5"/>
      <c r="G15" s="5"/>
      <c r="H15" s="5"/>
      <c r="I15" s="5"/>
      <c r="J15" s="5"/>
    </row>
    <row r="16" spans="1:10">
      <c r="A16" s="5" t="str">
        <f t="shared" si="0"/>
        <v>EMP014</v>
      </c>
      <c r="B16" s="5"/>
      <c r="C16" s="5"/>
      <c r="D16" s="5"/>
      <c r="E16" s="6"/>
      <c r="F16" s="5"/>
      <c r="G16" s="5"/>
      <c r="H16" s="5"/>
      <c r="I16" s="5"/>
      <c r="J16" s="5"/>
    </row>
    <row r="17" spans="1:10">
      <c r="A17" s="5" t="str">
        <f t="shared" si="0"/>
        <v>EMP015</v>
      </c>
      <c r="B17" s="5"/>
      <c r="C17" s="5"/>
      <c r="D17" s="5"/>
      <c r="E17" s="6"/>
      <c r="F17" s="5"/>
      <c r="G17" s="5"/>
      <c r="H17" s="5"/>
      <c r="I17" s="5"/>
      <c r="J17" s="5"/>
    </row>
    <row r="18" spans="1:10">
      <c r="A18" s="5" t="str">
        <f t="shared" si="0"/>
        <v>EMP016</v>
      </c>
      <c r="B18" s="5"/>
      <c r="C18" s="5"/>
      <c r="D18" s="5"/>
      <c r="E18" s="6"/>
      <c r="F18" s="5"/>
      <c r="G18" s="5"/>
      <c r="H18" s="5"/>
      <c r="I18" s="5"/>
      <c r="J18" s="5"/>
    </row>
    <row r="19" spans="1:10">
      <c r="A19" s="5" t="str">
        <f t="shared" si="0"/>
        <v>EMP017</v>
      </c>
      <c r="B19" s="5"/>
      <c r="C19" s="5"/>
      <c r="D19" s="5"/>
      <c r="E19" s="6"/>
      <c r="F19" s="5"/>
      <c r="G19" s="5"/>
      <c r="H19" s="5"/>
      <c r="I19" s="5"/>
      <c r="J19" s="5"/>
    </row>
    <row r="20" spans="1:10">
      <c r="A20" s="5" t="str">
        <f t="shared" si="0"/>
        <v>EMP018</v>
      </c>
      <c r="B20" s="5"/>
      <c r="C20" s="5"/>
      <c r="D20" s="5"/>
      <c r="E20" s="6"/>
      <c r="F20" s="5"/>
      <c r="G20" s="5"/>
      <c r="H20" s="5"/>
      <c r="I20" s="5"/>
      <c r="J20" s="5"/>
    </row>
    <row r="21" spans="1:10">
      <c r="A21" s="5" t="str">
        <f t="shared" si="0"/>
        <v>EMP019</v>
      </c>
      <c r="B21" s="5"/>
      <c r="C21" s="5"/>
      <c r="D21" s="5"/>
      <c r="E21" s="6"/>
      <c r="F21" s="5"/>
      <c r="G21" s="5"/>
      <c r="H21" s="5"/>
      <c r="I21" s="5"/>
      <c r="J21" s="5"/>
    </row>
    <row r="22" spans="1:10">
      <c r="A22" s="5" t="str">
        <f t="shared" si="0"/>
        <v>EMP020</v>
      </c>
      <c r="B22" s="5"/>
      <c r="C22" s="5"/>
      <c r="D22" s="5"/>
      <c r="E22" s="6"/>
      <c r="F22" s="5"/>
      <c r="G22" s="5"/>
      <c r="H22" s="5"/>
      <c r="I22" s="5"/>
      <c r="J22" s="5"/>
    </row>
  </sheetData>
  <mergeCells count="1">
    <mergeCell ref="A1:J1"/>
  </mergeCells>
  <dataValidations count="4">
    <dataValidation type="list" allowBlank="1" showInputMessage="1" showErrorMessage="1" sqref="C3:C22" xr:uid="{F4D6BA0E-23DA-4D08-A458-E6947FD5B9F8}">
      <formula1>"Administration,HR,Nursing,Lab,Pharmacy,Housekeeping,Security,Accounts"</formula1>
    </dataValidation>
    <dataValidation type="list" allowBlank="1" showInputMessage="1" showErrorMessage="1" sqref="D3:D22" xr:uid="{44272152-179A-44B2-AF03-D63383283914}">
      <formula1>"Staff Nurse,Senior Nurse,Lab Technician,Pharmacist,Admin Officer,HR Executive,Housekeeping Staff,Security Guard,Accountant,Department Head"</formula1>
    </dataValidation>
    <dataValidation type="list" allowBlank="1" showInputMessage="1" showErrorMessage="1" sqref="H3:H21" xr:uid="{6008EB35-C2C4-469D-B0DB-0ABA4B1B0F3F}">
      <formula1>"Permanent,Contract,Probation,Part-time"</formula1>
    </dataValidation>
    <dataValidation type="list" allowBlank="1" showInputMessage="1" showErrorMessage="1" sqref="J3:J21" xr:uid="{7311E40A-6A18-429A-949B-C83CA40F5384}">
      <formula1>"Active,Inactive,On Leave,Resigned"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F828-AD46-42D9-A596-35913847889C}">
  <sheetPr>
    <tabColor theme="9"/>
  </sheetPr>
  <dimension ref="A1:AO15"/>
  <sheetViews>
    <sheetView workbookViewId="0">
      <pane xSplit="3" ySplit="3" topLeftCell="T4" activePane="bottomRight" state="frozen"/>
      <selection pane="topRight" activeCell="D1" sqref="D1"/>
      <selection pane="bottomLeft" activeCell="A4" sqref="A4"/>
      <selection pane="bottomRight" activeCell="AO4" sqref="AO4:AO13"/>
    </sheetView>
  </sheetViews>
  <sheetFormatPr defaultRowHeight="14.4"/>
  <cols>
    <col min="1" max="1" width="10.77734375" customWidth="1"/>
    <col min="2" max="2" width="8.21875" bestFit="1" customWidth="1"/>
    <col min="3" max="3" width="18.77734375" customWidth="1"/>
    <col min="4" max="4" width="10" bestFit="1" customWidth="1"/>
    <col min="5" max="5" width="4.77734375" customWidth="1"/>
    <col min="6" max="6" width="10" bestFit="1" customWidth="1"/>
    <col min="7" max="7" width="4.77734375" customWidth="1"/>
    <col min="8" max="8" width="8.5546875" bestFit="1" customWidth="1"/>
    <col min="9" max="9" width="4.77734375" customWidth="1"/>
    <col min="10" max="10" width="10.21875" bestFit="1" customWidth="1"/>
    <col min="11" max="11" width="4.77734375" customWidth="1"/>
    <col min="12" max="12" width="14.33203125" bestFit="1" customWidth="1"/>
    <col min="13" max="34" width="4.77734375" customWidth="1"/>
    <col min="35" max="41" width="12.77734375" customWidth="1"/>
  </cols>
  <sheetData>
    <row r="1" spans="1:41" ht="34.950000000000003" customHeight="1">
      <c r="A1" s="9" t="s">
        <v>61</v>
      </c>
      <c r="B1" s="9"/>
      <c r="C1" s="9"/>
      <c r="D1" s="9"/>
      <c r="E1" s="9"/>
      <c r="F1" s="9"/>
      <c r="G1" s="9"/>
      <c r="H1" s="9"/>
      <c r="I1" s="9"/>
      <c r="J1" s="9"/>
    </row>
    <row r="2" spans="1:41" ht="15.6">
      <c r="A2" s="11" t="s">
        <v>62</v>
      </c>
      <c r="B2" s="11" t="s">
        <v>63</v>
      </c>
      <c r="C2" s="11" t="s">
        <v>64</v>
      </c>
      <c r="D2" s="11">
        <v>2025</v>
      </c>
    </row>
    <row r="3" spans="1:41" ht="25.05" customHeight="1">
      <c r="A3" s="12" t="s">
        <v>65</v>
      </c>
      <c r="B3" s="12" t="s">
        <v>2</v>
      </c>
      <c r="C3" s="12" t="s">
        <v>3</v>
      </c>
      <c r="D3" s="12">
        <v>1</v>
      </c>
      <c r="E3" s="12">
        <v>2</v>
      </c>
      <c r="F3" s="12">
        <v>3</v>
      </c>
      <c r="G3" s="12">
        <v>4</v>
      </c>
      <c r="H3" s="12">
        <v>5</v>
      </c>
      <c r="I3" s="12">
        <v>6</v>
      </c>
      <c r="J3" s="12">
        <v>7</v>
      </c>
      <c r="K3" s="12">
        <v>8</v>
      </c>
      <c r="L3" s="12">
        <v>9</v>
      </c>
      <c r="M3" s="12">
        <v>10</v>
      </c>
      <c r="N3" s="12">
        <v>11</v>
      </c>
      <c r="O3" s="12">
        <v>12</v>
      </c>
      <c r="P3" s="12">
        <v>13</v>
      </c>
      <c r="Q3" s="12">
        <v>14</v>
      </c>
      <c r="R3" s="12">
        <v>15</v>
      </c>
      <c r="S3" s="12">
        <v>16</v>
      </c>
      <c r="T3" s="12">
        <v>17</v>
      </c>
      <c r="U3" s="12">
        <v>18</v>
      </c>
      <c r="V3" s="12">
        <v>19</v>
      </c>
      <c r="W3" s="12">
        <v>20</v>
      </c>
      <c r="X3" s="12">
        <v>21</v>
      </c>
      <c r="Y3" s="12">
        <v>22</v>
      </c>
      <c r="Z3" s="12">
        <v>23</v>
      </c>
      <c r="AA3" s="12">
        <v>24</v>
      </c>
      <c r="AB3" s="12">
        <v>25</v>
      </c>
      <c r="AC3" s="12">
        <v>26</v>
      </c>
      <c r="AD3" s="12">
        <v>27</v>
      </c>
      <c r="AE3" s="12">
        <v>28</v>
      </c>
      <c r="AF3" s="12">
        <v>29</v>
      </c>
      <c r="AG3" s="12">
        <v>30</v>
      </c>
      <c r="AH3" s="12">
        <v>31</v>
      </c>
      <c r="AI3" s="12" t="s">
        <v>66</v>
      </c>
      <c r="AJ3" s="12" t="s">
        <v>67</v>
      </c>
      <c r="AK3" s="12" t="s">
        <v>68</v>
      </c>
      <c r="AL3" s="12" t="s">
        <v>69</v>
      </c>
      <c r="AM3" s="12" t="s">
        <v>70</v>
      </c>
      <c r="AN3" s="12" t="s">
        <v>71</v>
      </c>
      <c r="AO3" s="12" t="s">
        <v>72</v>
      </c>
    </row>
    <row r="4" spans="1:41">
      <c r="A4" s="5" t="str">
        <f>'Employee Master'!A3</f>
        <v>EMP001</v>
      </c>
      <c r="B4" s="5" t="str">
        <f>'Employee Master'!B3</f>
        <v>Ramya S</v>
      </c>
      <c r="C4" s="5" t="str">
        <f>'Employee Master'!C3</f>
        <v>Nursing</v>
      </c>
      <c r="D4" s="5" t="s">
        <v>73</v>
      </c>
      <c r="E4" s="5" t="s">
        <v>73</v>
      </c>
      <c r="F4" s="5" t="s">
        <v>76</v>
      </c>
      <c r="G4" s="5" t="s">
        <v>73</v>
      </c>
      <c r="H4" s="5" t="s">
        <v>73</v>
      </c>
      <c r="I4" s="5" t="s">
        <v>74</v>
      </c>
      <c r="J4" s="5" t="s">
        <v>74</v>
      </c>
      <c r="K4" s="5" t="s">
        <v>73</v>
      </c>
      <c r="L4" s="5" t="s">
        <v>73</v>
      </c>
      <c r="M4" s="5" t="s">
        <v>73</v>
      </c>
      <c r="N4" s="5" t="s">
        <v>73</v>
      </c>
      <c r="O4" s="5" t="s">
        <v>73</v>
      </c>
      <c r="P4" s="5" t="s">
        <v>74</v>
      </c>
      <c r="Q4" s="5" t="s">
        <v>74</v>
      </c>
      <c r="R4" s="5" t="s">
        <v>75</v>
      </c>
      <c r="S4" s="5" t="s">
        <v>73</v>
      </c>
      <c r="T4" s="5" t="s">
        <v>73</v>
      </c>
      <c r="U4" s="5" t="s">
        <v>73</v>
      </c>
      <c r="V4" s="5" t="s">
        <v>73</v>
      </c>
      <c r="W4" s="5" t="s">
        <v>73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13">
        <f>COUNTIF(D4:AH4,"P")</f>
        <v>14</v>
      </c>
      <c r="AJ4" s="13">
        <f>COUNTIF(D4:AH4,"A")</f>
        <v>0</v>
      </c>
      <c r="AK4" s="13">
        <f>COUNTIF(D4:AH4,"L")</f>
        <v>1</v>
      </c>
      <c r="AL4" s="13">
        <f>COUNTIF(D4:AH4,"H")</f>
        <v>1</v>
      </c>
      <c r="AM4" s="13">
        <f>COUNTIF(D4:AH4,"WO")</f>
        <v>4</v>
      </c>
      <c r="AN4" s="13">
        <f>AI4+AJ4+AK4</f>
        <v>15</v>
      </c>
      <c r="AO4" s="34">
        <f>IF(AN4=0,0,ROUND((AI4/AN4)*100,1))</f>
        <v>93.3</v>
      </c>
    </row>
    <row r="5" spans="1:41">
      <c r="A5" s="5" t="str">
        <f>'Employee Master'!A4</f>
        <v>EMP002</v>
      </c>
      <c r="B5" s="5" t="str">
        <f>'Employee Master'!B4</f>
        <v>Karthik M</v>
      </c>
      <c r="C5" s="5" t="str">
        <f>'Employee Master'!C4</f>
        <v>Lab</v>
      </c>
      <c r="D5" s="5" t="s">
        <v>73</v>
      </c>
      <c r="E5" s="5" t="s">
        <v>73</v>
      </c>
      <c r="F5" s="5" t="s">
        <v>73</v>
      </c>
      <c r="G5" s="5" t="s">
        <v>73</v>
      </c>
      <c r="H5" s="5" t="s">
        <v>73</v>
      </c>
      <c r="I5" s="5" t="s">
        <v>74</v>
      </c>
      <c r="J5" s="5" t="s">
        <v>74</v>
      </c>
      <c r="K5" s="5" t="s">
        <v>73</v>
      </c>
      <c r="L5" s="5" t="s">
        <v>73</v>
      </c>
      <c r="M5" s="5" t="s">
        <v>73</v>
      </c>
      <c r="N5" s="5" t="s">
        <v>73</v>
      </c>
      <c r="O5" s="5" t="s">
        <v>73</v>
      </c>
      <c r="P5" s="5" t="s">
        <v>74</v>
      </c>
      <c r="Q5" s="5" t="s">
        <v>74</v>
      </c>
      <c r="R5" s="5" t="s">
        <v>75</v>
      </c>
      <c r="S5" s="5" t="s">
        <v>73</v>
      </c>
      <c r="T5" s="5" t="s">
        <v>73</v>
      </c>
      <c r="U5" s="5" t="s">
        <v>73</v>
      </c>
      <c r="V5" s="5" t="s">
        <v>73</v>
      </c>
      <c r="W5" s="5" t="s">
        <v>73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13">
        <f t="shared" ref="AI5:AI13" si="0">COUNTIF(D5:AH5,"P")</f>
        <v>15</v>
      </c>
      <c r="AJ5" s="13">
        <f t="shared" ref="AJ5:AJ13" si="1">COUNTIF(D5:AH5,"A")</f>
        <v>0</v>
      </c>
      <c r="AK5" s="13">
        <f t="shared" ref="AK5:AK13" si="2">COUNTIF(D5:AH5,"L")</f>
        <v>0</v>
      </c>
      <c r="AL5" s="13">
        <f t="shared" ref="AL5:AL13" si="3">COUNTIF(D5:AH5,"H")</f>
        <v>1</v>
      </c>
      <c r="AM5" s="13">
        <f t="shared" ref="AM5:AM13" si="4">COUNTIF(D5:AH5,"WO")</f>
        <v>4</v>
      </c>
      <c r="AN5" s="13">
        <f t="shared" ref="AN5:AN13" si="5">AI5+AJ5+AK5</f>
        <v>15</v>
      </c>
      <c r="AO5" s="34">
        <f t="shared" ref="AO5:AO13" si="6">IF(AN5=0,0,ROUND((AI5/AN5)*100,1))</f>
        <v>100</v>
      </c>
    </row>
    <row r="6" spans="1:41">
      <c r="A6" s="5" t="str">
        <f>'Employee Master'!A5</f>
        <v>EMP003</v>
      </c>
      <c r="B6" s="5" t="str">
        <f>'Employee Master'!B5</f>
        <v>Preethi N</v>
      </c>
      <c r="C6" s="5" t="str">
        <f>'Employee Master'!C5</f>
        <v>HR</v>
      </c>
      <c r="D6" s="5" t="s">
        <v>73</v>
      </c>
      <c r="E6" s="5" t="s">
        <v>73</v>
      </c>
      <c r="F6" s="5" t="s">
        <v>73</v>
      </c>
      <c r="G6" s="5" t="s">
        <v>73</v>
      </c>
      <c r="H6" s="5" t="s">
        <v>73</v>
      </c>
      <c r="I6" s="5" t="s">
        <v>74</v>
      </c>
      <c r="J6" s="5" t="s">
        <v>74</v>
      </c>
      <c r="K6" s="5" t="s">
        <v>73</v>
      </c>
      <c r="L6" s="5" t="s">
        <v>73</v>
      </c>
      <c r="M6" s="5" t="s">
        <v>77</v>
      </c>
      <c r="N6" s="5" t="s">
        <v>73</v>
      </c>
      <c r="O6" s="5" t="s">
        <v>73</v>
      </c>
      <c r="P6" s="5" t="s">
        <v>74</v>
      </c>
      <c r="Q6" s="5" t="s">
        <v>74</v>
      </c>
      <c r="R6" s="5" t="s">
        <v>75</v>
      </c>
      <c r="S6" s="5" t="s">
        <v>73</v>
      </c>
      <c r="T6" s="5" t="s">
        <v>73</v>
      </c>
      <c r="U6" s="5" t="s">
        <v>73</v>
      </c>
      <c r="V6" s="5" t="s">
        <v>73</v>
      </c>
      <c r="W6" s="5" t="s">
        <v>73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13">
        <f t="shared" si="0"/>
        <v>14</v>
      </c>
      <c r="AJ6" s="13">
        <f t="shared" si="1"/>
        <v>1</v>
      </c>
      <c r="AK6" s="13">
        <f t="shared" si="2"/>
        <v>0</v>
      </c>
      <c r="AL6" s="13">
        <f t="shared" si="3"/>
        <v>1</v>
      </c>
      <c r="AM6" s="13">
        <f t="shared" si="4"/>
        <v>4</v>
      </c>
      <c r="AN6" s="13">
        <f t="shared" si="5"/>
        <v>15</v>
      </c>
      <c r="AO6" s="34">
        <f t="shared" si="6"/>
        <v>93.3</v>
      </c>
    </row>
    <row r="7" spans="1:41">
      <c r="A7" s="5" t="str">
        <f>'Employee Master'!A6</f>
        <v>EMP004</v>
      </c>
      <c r="B7" s="5" t="str">
        <f>'Employee Master'!B6</f>
        <v>Suresh P</v>
      </c>
      <c r="C7" s="5" t="str">
        <f>'Employee Master'!C6</f>
        <v>Accounts</v>
      </c>
      <c r="D7" s="5" t="s">
        <v>73</v>
      </c>
      <c r="E7" s="5" t="s">
        <v>73</v>
      </c>
      <c r="F7" s="5" t="s">
        <v>73</v>
      </c>
      <c r="G7" s="5" t="s">
        <v>73</v>
      </c>
      <c r="H7" s="5" t="s">
        <v>73</v>
      </c>
      <c r="I7" s="5" t="s">
        <v>74</v>
      </c>
      <c r="J7" s="5" t="s">
        <v>74</v>
      </c>
      <c r="K7" s="5" t="s">
        <v>73</v>
      </c>
      <c r="L7" s="5" t="s">
        <v>73</v>
      </c>
      <c r="M7" s="5" t="s">
        <v>73</v>
      </c>
      <c r="N7" s="5" t="s">
        <v>73</v>
      </c>
      <c r="O7" s="5" t="s">
        <v>73</v>
      </c>
      <c r="P7" s="5" t="s">
        <v>74</v>
      </c>
      <c r="Q7" s="5" t="s">
        <v>74</v>
      </c>
      <c r="R7" s="5" t="s">
        <v>75</v>
      </c>
      <c r="S7" s="5" t="s">
        <v>73</v>
      </c>
      <c r="T7" s="5" t="s">
        <v>73</v>
      </c>
      <c r="U7" s="5" t="s">
        <v>73</v>
      </c>
      <c r="V7" s="5" t="s">
        <v>73</v>
      </c>
      <c r="W7" s="5" t="s">
        <v>73</v>
      </c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13">
        <f t="shared" si="0"/>
        <v>15</v>
      </c>
      <c r="AJ7" s="13">
        <f t="shared" si="1"/>
        <v>0</v>
      </c>
      <c r="AK7" s="13">
        <f t="shared" si="2"/>
        <v>0</v>
      </c>
      <c r="AL7" s="13">
        <f t="shared" si="3"/>
        <v>1</v>
      </c>
      <c r="AM7" s="13">
        <f t="shared" si="4"/>
        <v>4</v>
      </c>
      <c r="AN7" s="13">
        <f t="shared" si="5"/>
        <v>15</v>
      </c>
      <c r="AO7" s="34">
        <f t="shared" si="6"/>
        <v>100</v>
      </c>
    </row>
    <row r="8" spans="1:41">
      <c r="A8" s="5" t="str">
        <f>'Employee Master'!A7</f>
        <v>EMP005</v>
      </c>
      <c r="B8" s="5" t="str">
        <f>'Employee Master'!B7</f>
        <v>Anbu K</v>
      </c>
      <c r="C8" s="5" t="str">
        <f>'Employee Master'!C7</f>
        <v>Security</v>
      </c>
      <c r="D8" s="5" t="s">
        <v>73</v>
      </c>
      <c r="E8" s="5" t="s">
        <v>73</v>
      </c>
      <c r="F8" s="5" t="s">
        <v>73</v>
      </c>
      <c r="G8" s="5" t="s">
        <v>73</v>
      </c>
      <c r="H8" s="5" t="s">
        <v>73</v>
      </c>
      <c r="I8" s="5" t="s">
        <v>74</v>
      </c>
      <c r="J8" s="5" t="s">
        <v>74</v>
      </c>
      <c r="K8" s="5" t="s">
        <v>77</v>
      </c>
      <c r="L8" s="5" t="s">
        <v>73</v>
      </c>
      <c r="M8" s="5" t="s">
        <v>73</v>
      </c>
      <c r="N8" s="5" t="s">
        <v>73</v>
      </c>
      <c r="O8" s="5" t="s">
        <v>73</v>
      </c>
      <c r="P8" s="5" t="s">
        <v>74</v>
      </c>
      <c r="Q8" s="5" t="s">
        <v>74</v>
      </c>
      <c r="R8" s="5" t="s">
        <v>75</v>
      </c>
      <c r="S8" s="5" t="s">
        <v>73</v>
      </c>
      <c r="T8" s="5" t="s">
        <v>73</v>
      </c>
      <c r="U8" s="5" t="s">
        <v>73</v>
      </c>
      <c r="V8" s="5" t="s">
        <v>73</v>
      </c>
      <c r="W8" s="5" t="s">
        <v>73</v>
      </c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13">
        <f t="shared" si="0"/>
        <v>14</v>
      </c>
      <c r="AJ8" s="13">
        <f t="shared" si="1"/>
        <v>1</v>
      </c>
      <c r="AK8" s="13">
        <f t="shared" si="2"/>
        <v>0</v>
      </c>
      <c r="AL8" s="13">
        <f t="shared" si="3"/>
        <v>1</v>
      </c>
      <c r="AM8" s="13">
        <f t="shared" si="4"/>
        <v>4</v>
      </c>
      <c r="AN8" s="13">
        <f t="shared" si="5"/>
        <v>15</v>
      </c>
      <c r="AO8" s="34">
        <f t="shared" si="6"/>
        <v>93.3</v>
      </c>
    </row>
    <row r="9" spans="1:41">
      <c r="A9" s="5" t="str">
        <f>'Employee Master'!A8</f>
        <v>EMP006</v>
      </c>
      <c r="B9" s="5" t="str">
        <f>'Employee Master'!B8</f>
        <v>Meena R</v>
      </c>
      <c r="C9" s="5" t="str">
        <f>'Employee Master'!C8</f>
        <v>Pharmacy</v>
      </c>
      <c r="D9" s="5" t="s">
        <v>73</v>
      </c>
      <c r="E9" s="5" t="s">
        <v>73</v>
      </c>
      <c r="F9" s="5" t="s">
        <v>73</v>
      </c>
      <c r="G9" s="5" t="s">
        <v>73</v>
      </c>
      <c r="H9" s="5" t="s">
        <v>73</v>
      </c>
      <c r="I9" s="5" t="s">
        <v>74</v>
      </c>
      <c r="J9" s="5" t="s">
        <v>74</v>
      </c>
      <c r="K9" s="5" t="s">
        <v>73</v>
      </c>
      <c r="L9" s="5" t="s">
        <v>73</v>
      </c>
      <c r="M9" s="5" t="s">
        <v>73</v>
      </c>
      <c r="N9" s="5" t="s">
        <v>73</v>
      </c>
      <c r="O9" s="5" t="s">
        <v>73</v>
      </c>
      <c r="P9" s="5" t="s">
        <v>74</v>
      </c>
      <c r="Q9" s="5" t="s">
        <v>74</v>
      </c>
      <c r="R9" s="5" t="s">
        <v>75</v>
      </c>
      <c r="S9" s="5" t="s">
        <v>73</v>
      </c>
      <c r="T9" s="5" t="s">
        <v>73</v>
      </c>
      <c r="U9" s="5" t="s">
        <v>73</v>
      </c>
      <c r="V9" s="5" t="s">
        <v>73</v>
      </c>
      <c r="W9" s="5" t="s">
        <v>73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13">
        <f t="shared" si="0"/>
        <v>15</v>
      </c>
      <c r="AJ9" s="13">
        <f t="shared" si="1"/>
        <v>0</v>
      </c>
      <c r="AK9" s="13">
        <f t="shared" si="2"/>
        <v>0</v>
      </c>
      <c r="AL9" s="13">
        <f t="shared" si="3"/>
        <v>1</v>
      </c>
      <c r="AM9" s="13">
        <f t="shared" si="4"/>
        <v>4</v>
      </c>
      <c r="AN9" s="13">
        <f t="shared" si="5"/>
        <v>15</v>
      </c>
      <c r="AO9" s="34">
        <f t="shared" si="6"/>
        <v>100</v>
      </c>
    </row>
    <row r="10" spans="1:41">
      <c r="A10" s="5" t="str">
        <f>'Employee Master'!A9</f>
        <v>EMP007</v>
      </c>
      <c r="B10" s="5" t="str">
        <f>'Employee Master'!B9</f>
        <v>Vijay T</v>
      </c>
      <c r="C10" s="5" t="str">
        <f>'Employee Master'!C9</f>
        <v>Housekeeping</v>
      </c>
      <c r="D10" s="5" t="s">
        <v>73</v>
      </c>
      <c r="E10" s="5" t="s">
        <v>73</v>
      </c>
      <c r="F10" s="5" t="s">
        <v>73</v>
      </c>
      <c r="G10" s="5" t="s">
        <v>73</v>
      </c>
      <c r="H10" s="5" t="s">
        <v>73</v>
      </c>
      <c r="I10" s="5" t="s">
        <v>74</v>
      </c>
      <c r="J10" s="5" t="s">
        <v>74</v>
      </c>
      <c r="K10" s="5" t="s">
        <v>73</v>
      </c>
      <c r="L10" s="5" t="s">
        <v>73</v>
      </c>
      <c r="M10" s="5" t="s">
        <v>73</v>
      </c>
      <c r="N10" s="5" t="s">
        <v>73</v>
      </c>
      <c r="O10" s="5" t="s">
        <v>73</v>
      </c>
      <c r="P10" s="5" t="s">
        <v>74</v>
      </c>
      <c r="Q10" s="5" t="s">
        <v>74</v>
      </c>
      <c r="R10" s="5" t="s">
        <v>75</v>
      </c>
      <c r="S10" s="5" t="s">
        <v>76</v>
      </c>
      <c r="T10" s="5" t="s">
        <v>76</v>
      </c>
      <c r="U10" s="5" t="s">
        <v>73</v>
      </c>
      <c r="V10" s="5" t="s">
        <v>73</v>
      </c>
      <c r="W10" s="5" t="s">
        <v>73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13">
        <f t="shared" si="0"/>
        <v>13</v>
      </c>
      <c r="AJ10" s="13">
        <f t="shared" si="1"/>
        <v>0</v>
      </c>
      <c r="AK10" s="13">
        <f t="shared" si="2"/>
        <v>2</v>
      </c>
      <c r="AL10" s="13">
        <f t="shared" si="3"/>
        <v>1</v>
      </c>
      <c r="AM10" s="13">
        <f t="shared" si="4"/>
        <v>4</v>
      </c>
      <c r="AN10" s="13">
        <f t="shared" si="5"/>
        <v>15</v>
      </c>
      <c r="AO10" s="34">
        <f t="shared" si="6"/>
        <v>86.7</v>
      </c>
    </row>
    <row r="11" spans="1:41">
      <c r="A11" s="5" t="str">
        <f>'Employee Master'!A10</f>
        <v>EMP008</v>
      </c>
      <c r="B11" s="5" t="str">
        <f>'Employee Master'!B10</f>
        <v>Divya L</v>
      </c>
      <c r="C11" s="5" t="str">
        <f>'Employee Master'!C10</f>
        <v>Administration</v>
      </c>
      <c r="D11" s="5" t="s">
        <v>73</v>
      </c>
      <c r="E11" s="5" t="s">
        <v>73</v>
      </c>
      <c r="F11" s="5" t="s">
        <v>73</v>
      </c>
      <c r="G11" s="5" t="s">
        <v>73</v>
      </c>
      <c r="H11" s="5" t="s">
        <v>73</v>
      </c>
      <c r="I11" s="5" t="s">
        <v>74</v>
      </c>
      <c r="J11" s="5" t="s">
        <v>74</v>
      </c>
      <c r="K11" s="5" t="s">
        <v>73</v>
      </c>
      <c r="L11" s="5" t="s">
        <v>73</v>
      </c>
      <c r="M11" s="5" t="s">
        <v>73</v>
      </c>
      <c r="N11" s="5" t="s">
        <v>73</v>
      </c>
      <c r="O11" s="5" t="s">
        <v>73</v>
      </c>
      <c r="P11" s="5" t="s">
        <v>74</v>
      </c>
      <c r="Q11" s="5" t="s">
        <v>74</v>
      </c>
      <c r="R11" s="5" t="s">
        <v>75</v>
      </c>
      <c r="S11" s="5" t="s">
        <v>73</v>
      </c>
      <c r="T11" s="5" t="s">
        <v>73</v>
      </c>
      <c r="U11" s="5" t="s">
        <v>73</v>
      </c>
      <c r="V11" s="5" t="s">
        <v>73</v>
      </c>
      <c r="W11" s="5" t="s">
        <v>73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13">
        <f t="shared" si="0"/>
        <v>15</v>
      </c>
      <c r="AJ11" s="13">
        <f t="shared" si="1"/>
        <v>0</v>
      </c>
      <c r="AK11" s="13">
        <f t="shared" si="2"/>
        <v>0</v>
      </c>
      <c r="AL11" s="13">
        <f t="shared" si="3"/>
        <v>1</v>
      </c>
      <c r="AM11" s="13">
        <f t="shared" si="4"/>
        <v>4</v>
      </c>
      <c r="AN11" s="13">
        <f t="shared" si="5"/>
        <v>15</v>
      </c>
      <c r="AO11" s="34">
        <f t="shared" si="6"/>
        <v>100</v>
      </c>
    </row>
    <row r="12" spans="1:41">
      <c r="A12" s="5" t="str">
        <f>'Employee Master'!A11</f>
        <v>EMP009</v>
      </c>
      <c r="B12" s="5" t="str">
        <f>'Employee Master'!B11</f>
        <v>Arun B</v>
      </c>
      <c r="C12" s="5" t="str">
        <f>'Employee Master'!C11</f>
        <v>Nursing</v>
      </c>
      <c r="D12" s="5" t="s">
        <v>73</v>
      </c>
      <c r="E12" s="5" t="s">
        <v>73</v>
      </c>
      <c r="F12" s="5" t="s">
        <v>73</v>
      </c>
      <c r="G12" s="5" t="s">
        <v>73</v>
      </c>
      <c r="H12" s="5" t="s">
        <v>73</v>
      </c>
      <c r="I12" s="5" t="s">
        <v>74</v>
      </c>
      <c r="J12" s="5" t="s">
        <v>74</v>
      </c>
      <c r="K12" s="5" t="s">
        <v>73</v>
      </c>
      <c r="L12" s="5" t="s">
        <v>73</v>
      </c>
      <c r="M12" s="5" t="s">
        <v>73</v>
      </c>
      <c r="N12" s="5" t="s">
        <v>73</v>
      </c>
      <c r="O12" s="5" t="s">
        <v>73</v>
      </c>
      <c r="P12" s="5" t="s">
        <v>74</v>
      </c>
      <c r="Q12" s="5" t="s">
        <v>74</v>
      </c>
      <c r="R12" s="5" t="s">
        <v>75</v>
      </c>
      <c r="S12" s="5" t="s">
        <v>73</v>
      </c>
      <c r="T12" s="5" t="s">
        <v>73</v>
      </c>
      <c r="U12" s="5" t="s">
        <v>73</v>
      </c>
      <c r="V12" s="5" t="s">
        <v>73</v>
      </c>
      <c r="W12" s="5" t="s">
        <v>77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13">
        <f t="shared" si="0"/>
        <v>14</v>
      </c>
      <c r="AJ12" s="13">
        <f t="shared" si="1"/>
        <v>1</v>
      </c>
      <c r="AK12" s="13">
        <f t="shared" si="2"/>
        <v>0</v>
      </c>
      <c r="AL12" s="13">
        <f t="shared" si="3"/>
        <v>1</v>
      </c>
      <c r="AM12" s="13">
        <f t="shared" si="4"/>
        <v>4</v>
      </c>
      <c r="AN12" s="13">
        <f t="shared" si="5"/>
        <v>15</v>
      </c>
      <c r="AO12" s="34">
        <f t="shared" si="6"/>
        <v>93.3</v>
      </c>
    </row>
    <row r="13" spans="1:41">
      <c r="A13" s="5" t="str">
        <f>'Employee Master'!A12</f>
        <v>EMP010</v>
      </c>
      <c r="B13" s="5" t="str">
        <f>'Employee Master'!B12</f>
        <v>Lakshmi V</v>
      </c>
      <c r="C13" s="5" t="str">
        <f>'Employee Master'!C12</f>
        <v>Lab</v>
      </c>
      <c r="D13" s="5" t="s">
        <v>73</v>
      </c>
      <c r="E13" s="5" t="s">
        <v>73</v>
      </c>
      <c r="F13" s="5" t="s">
        <v>73</v>
      </c>
      <c r="G13" s="5" t="s">
        <v>73</v>
      </c>
      <c r="H13" s="5" t="s">
        <v>73</v>
      </c>
      <c r="I13" s="5" t="s">
        <v>74</v>
      </c>
      <c r="J13" s="5" t="s">
        <v>74</v>
      </c>
      <c r="K13" s="5" t="s">
        <v>73</v>
      </c>
      <c r="L13" s="5" t="s">
        <v>73</v>
      </c>
      <c r="M13" s="5" t="s">
        <v>73</v>
      </c>
      <c r="N13" s="5" t="s">
        <v>73</v>
      </c>
      <c r="O13" s="5" t="s">
        <v>73</v>
      </c>
      <c r="P13" s="5" t="s">
        <v>74</v>
      </c>
      <c r="Q13" s="5" t="s">
        <v>74</v>
      </c>
      <c r="R13" s="5" t="s">
        <v>75</v>
      </c>
      <c r="S13" s="5" t="s">
        <v>73</v>
      </c>
      <c r="T13" s="5" t="s">
        <v>73</v>
      </c>
      <c r="U13" s="5" t="s">
        <v>73</v>
      </c>
      <c r="V13" s="5" t="s">
        <v>73</v>
      </c>
      <c r="W13" s="5" t="s">
        <v>73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13">
        <f t="shared" si="0"/>
        <v>15</v>
      </c>
      <c r="AJ13" s="13">
        <f t="shared" si="1"/>
        <v>0</v>
      </c>
      <c r="AK13" s="13">
        <f t="shared" si="2"/>
        <v>0</v>
      </c>
      <c r="AL13" s="13">
        <f t="shared" si="3"/>
        <v>1</v>
      </c>
      <c r="AM13" s="13">
        <f t="shared" si="4"/>
        <v>4</v>
      </c>
      <c r="AN13" s="13">
        <f t="shared" si="5"/>
        <v>15</v>
      </c>
      <c r="AO13" s="34">
        <f t="shared" si="6"/>
        <v>100</v>
      </c>
    </row>
    <row r="15" spans="1:41">
      <c r="B15" s="10" t="s">
        <v>78</v>
      </c>
      <c r="D15" s="14" t="s">
        <v>79</v>
      </c>
      <c r="F15" s="16" t="s">
        <v>80</v>
      </c>
      <c r="H15" s="17" t="s">
        <v>81</v>
      </c>
      <c r="J15" s="18" t="s">
        <v>82</v>
      </c>
      <c r="L15" s="19" t="s">
        <v>83</v>
      </c>
    </row>
  </sheetData>
  <mergeCells count="1">
    <mergeCell ref="A1:J1"/>
  </mergeCells>
  <conditionalFormatting sqref="D4:AH13">
    <cfRule type="cellIs" dxfId="11" priority="1" operator="equal">
      <formula>"WO"</formula>
    </cfRule>
    <cfRule type="cellIs" dxfId="10" priority="2" operator="equal">
      <formula>"H"</formula>
    </cfRule>
    <cfRule type="cellIs" dxfId="9" priority="3" operator="equal">
      <formula>"L"</formula>
    </cfRule>
    <cfRule type="cellIs" dxfId="8" priority="4" operator="equal">
      <formula>"A"</formula>
    </cfRule>
    <cfRule type="cellIs" dxfId="7" priority="5" operator="equal">
      <formula>"P"</formula>
    </cfRule>
  </conditionalFormatting>
  <dataValidations count="1">
    <dataValidation type="list" allowBlank="1" showInputMessage="1" showErrorMessage="1" sqref="D4:AH13" xr:uid="{A852AF30-B01C-4E90-A16C-01E573B47CA2}">
      <formula1>"P,A,L,H,WO"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9F07B-ABEC-463D-8E72-0413F029E9BD}">
  <sheetPr>
    <tabColor theme="5" tint="-0.249977111117893"/>
  </sheetPr>
  <dimension ref="A1:R1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H13" sqref="H13"/>
    </sheetView>
  </sheetViews>
  <sheetFormatPr defaultRowHeight="14.4"/>
  <cols>
    <col min="1" max="1" width="10.77734375" customWidth="1"/>
    <col min="2" max="2" width="20.77734375" customWidth="1"/>
    <col min="3" max="3" width="18.77734375" customWidth="1"/>
    <col min="4" max="13" width="12.77734375" customWidth="1"/>
    <col min="14" max="16" width="15.77734375" customWidth="1"/>
    <col min="17" max="17" width="18.77734375" customWidth="1"/>
    <col min="18" max="18" width="22.77734375" customWidth="1"/>
  </cols>
  <sheetData>
    <row r="1" spans="1:18" ht="34.950000000000003" customHeight="1">
      <c r="A1" s="20" t="s">
        <v>84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9.95" customHeight="1">
      <c r="A2" s="21" t="s">
        <v>85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0" customHeight="1">
      <c r="A3" s="31" t="s">
        <v>65</v>
      </c>
      <c r="B3" s="31" t="s">
        <v>2</v>
      </c>
      <c r="C3" s="31" t="s">
        <v>3</v>
      </c>
      <c r="D3" s="31" t="s">
        <v>86</v>
      </c>
      <c r="E3" s="31" t="s">
        <v>87</v>
      </c>
      <c r="F3" s="31" t="s">
        <v>88</v>
      </c>
      <c r="G3" s="31" t="s">
        <v>89</v>
      </c>
      <c r="H3" s="31" t="s">
        <v>90</v>
      </c>
      <c r="I3" s="31" t="s">
        <v>91</v>
      </c>
      <c r="J3" s="31" t="s">
        <v>92</v>
      </c>
      <c r="K3" s="31" t="s">
        <v>93</v>
      </c>
      <c r="L3" s="31" t="s">
        <v>94</v>
      </c>
      <c r="M3" s="31" t="s">
        <v>95</v>
      </c>
      <c r="N3" s="31" t="s">
        <v>96</v>
      </c>
      <c r="O3" s="31" t="s">
        <v>97</v>
      </c>
      <c r="P3" s="31" t="s">
        <v>98</v>
      </c>
      <c r="Q3" s="31" t="s">
        <v>99</v>
      </c>
      <c r="R3" s="31" t="s">
        <v>100</v>
      </c>
    </row>
    <row r="4" spans="1:18">
      <c r="A4" s="24" t="str">
        <f>'Employee Master'!A3</f>
        <v>EMP001</v>
      </c>
      <c r="B4" s="24" t="str">
        <f>'Employee Master'!B3</f>
        <v>Ramya S</v>
      </c>
      <c r="C4" s="24" t="str">
        <f>'Employee Master'!C3</f>
        <v>Nursing</v>
      </c>
      <c r="D4" s="24">
        <v>12</v>
      </c>
      <c r="E4" s="24">
        <f>MIN(COUNTIF('Attendance Sheet'!D4:AH4,"L"),D4)</f>
        <v>1</v>
      </c>
      <c r="F4" s="24">
        <f>D4-E4</f>
        <v>11</v>
      </c>
      <c r="G4" s="24">
        <v>12</v>
      </c>
      <c r="H4" s="24">
        <f>MAX(0,MIN(COUNTIF('Attendance Sheet'!D4:AH4,"L")-E4,G4))</f>
        <v>0</v>
      </c>
      <c r="I4" s="24">
        <f>G4-H4</f>
        <v>12</v>
      </c>
      <c r="J4" s="24">
        <v>15</v>
      </c>
      <c r="K4" s="24">
        <f>MAX(0,MIN(COUNTIF('Attendance Sheet'!D4:AH4,"L")-E4-H4,J4))</f>
        <v>0</v>
      </c>
      <c r="L4" s="24">
        <f>J4-K4</f>
        <v>15</v>
      </c>
      <c r="M4" s="24">
        <f>MAX(0,COUNTIF('Attendance Sheet'!D4:AH4,"L")-E4-H4-K4)</f>
        <v>0</v>
      </c>
      <c r="N4" s="24">
        <f>D4+G4+J4</f>
        <v>39</v>
      </c>
      <c r="O4" s="24">
        <f>E4+H4+K4+M4</f>
        <v>1</v>
      </c>
      <c r="P4" s="24">
        <f>N4-O4</f>
        <v>38</v>
      </c>
      <c r="Q4" s="24" t="str">
        <f>IF(P4&gt;=20,"✅ Healthy",IF(P4&gt;=10,"⚠️ Low",IF(P4&gt;0,"🔴 Critical","❌ Exhausted")))</f>
        <v>✅ Healthy</v>
      </c>
      <c r="R4" s="24"/>
    </row>
    <row r="5" spans="1:18">
      <c r="A5" s="5" t="str">
        <f>'Employee Master'!A4</f>
        <v>EMP002</v>
      </c>
      <c r="B5" s="5" t="str">
        <f>'Employee Master'!B4</f>
        <v>Karthik M</v>
      </c>
      <c r="C5" s="5" t="str">
        <f>'Employee Master'!C4</f>
        <v>Lab</v>
      </c>
      <c r="D5" s="5">
        <v>12</v>
      </c>
      <c r="E5" s="5">
        <f>MIN(COUNTIF('Attendance Sheet'!D5:AH5,"L"),D5)</f>
        <v>0</v>
      </c>
      <c r="F5" s="5">
        <f t="shared" ref="F5:F13" si="0">D5-E5</f>
        <v>12</v>
      </c>
      <c r="G5" s="5">
        <v>12</v>
      </c>
      <c r="H5" s="5">
        <f>MAX(0,MIN(COUNTIF('Attendance Sheet'!D5:AH5,"L")-E5,G5))</f>
        <v>0</v>
      </c>
      <c r="I5" s="5">
        <f t="shared" ref="I5:I13" si="1">G5-H5</f>
        <v>12</v>
      </c>
      <c r="J5" s="5">
        <v>15</v>
      </c>
      <c r="K5" s="5">
        <f>MAX(0,MIN(COUNTIF('Attendance Sheet'!D5:AH5,"L")-E5-H5,J5))</f>
        <v>0</v>
      </c>
      <c r="L5" s="5">
        <f t="shared" ref="L5:L13" si="2">J5-K5</f>
        <v>15</v>
      </c>
      <c r="M5" s="5">
        <f>MAX(0,COUNTIF('Attendance Sheet'!D5:AH5,"L")-E5-H5-K5)</f>
        <v>0</v>
      </c>
      <c r="N5" s="5">
        <f t="shared" ref="N5:N13" si="3">D5+G5+J5</f>
        <v>39</v>
      </c>
      <c r="O5" s="5">
        <f t="shared" ref="O5:O13" si="4">E5+H5+K5+M5</f>
        <v>0</v>
      </c>
      <c r="P5" s="5">
        <f t="shared" ref="P5:P13" si="5">N5-O5</f>
        <v>39</v>
      </c>
      <c r="Q5" s="5" t="str">
        <f t="shared" ref="Q5:Q13" si="6">IF(P5&gt;=20,"✅ Healthy",IF(P5&gt;=10,"⚠️ Low",IF(P5&gt;0,"🔴 Critical","❌ Exhausted")))</f>
        <v>✅ Healthy</v>
      </c>
      <c r="R5" s="5"/>
    </row>
    <row r="6" spans="1:18">
      <c r="A6" s="24" t="str">
        <f>'Employee Master'!A5</f>
        <v>EMP003</v>
      </c>
      <c r="B6" s="24" t="str">
        <f>'Employee Master'!B5</f>
        <v>Preethi N</v>
      </c>
      <c r="C6" s="24" t="str">
        <f>'Employee Master'!C5</f>
        <v>HR</v>
      </c>
      <c r="D6" s="24">
        <v>12</v>
      </c>
      <c r="E6" s="24">
        <f>MIN(COUNTIF('Attendance Sheet'!D6:AH6,"L"),D6)</f>
        <v>0</v>
      </c>
      <c r="F6" s="24">
        <f t="shared" si="0"/>
        <v>12</v>
      </c>
      <c r="G6" s="24">
        <v>12</v>
      </c>
      <c r="H6" s="24">
        <f>MAX(0,MIN(COUNTIF('Attendance Sheet'!D6:AH6,"L")-E6,G6))</f>
        <v>0</v>
      </c>
      <c r="I6" s="24">
        <f t="shared" si="1"/>
        <v>12</v>
      </c>
      <c r="J6" s="24">
        <v>15</v>
      </c>
      <c r="K6" s="24">
        <f>MAX(0,MIN(COUNTIF('Attendance Sheet'!D6:AH6,"L")-E6-H6,J6))</f>
        <v>0</v>
      </c>
      <c r="L6" s="24">
        <f t="shared" si="2"/>
        <v>15</v>
      </c>
      <c r="M6" s="24">
        <f>MAX(0,COUNTIF('Attendance Sheet'!D6:AH6,"L")-E6-H6-K6)</f>
        <v>0</v>
      </c>
      <c r="N6" s="24">
        <f t="shared" si="3"/>
        <v>39</v>
      </c>
      <c r="O6" s="24">
        <f t="shared" si="4"/>
        <v>0</v>
      </c>
      <c r="P6" s="24">
        <f t="shared" si="5"/>
        <v>39</v>
      </c>
      <c r="Q6" s="24" t="str">
        <f t="shared" si="6"/>
        <v>✅ Healthy</v>
      </c>
      <c r="R6" s="24"/>
    </row>
    <row r="7" spans="1:18">
      <c r="A7" s="5" t="str">
        <f>'Employee Master'!A6</f>
        <v>EMP004</v>
      </c>
      <c r="B7" s="5" t="str">
        <f>'Employee Master'!B6</f>
        <v>Suresh P</v>
      </c>
      <c r="C7" s="5" t="str">
        <f>'Employee Master'!C6</f>
        <v>Accounts</v>
      </c>
      <c r="D7" s="5">
        <v>12</v>
      </c>
      <c r="E7" s="5">
        <f>MIN(COUNTIF('Attendance Sheet'!D7:AH7,"L"),D7)</f>
        <v>0</v>
      </c>
      <c r="F7" s="5">
        <f t="shared" si="0"/>
        <v>12</v>
      </c>
      <c r="G7" s="5">
        <v>12</v>
      </c>
      <c r="H7" s="5">
        <f>MAX(0,MIN(COUNTIF('Attendance Sheet'!D7:AH7,"L")-E7,G7))</f>
        <v>0</v>
      </c>
      <c r="I7" s="5">
        <f t="shared" si="1"/>
        <v>12</v>
      </c>
      <c r="J7" s="5">
        <v>15</v>
      </c>
      <c r="K7" s="5">
        <f>MAX(0,MIN(COUNTIF('Attendance Sheet'!D7:AH7,"L")-E7-H7,J7))</f>
        <v>0</v>
      </c>
      <c r="L7" s="5">
        <f t="shared" si="2"/>
        <v>15</v>
      </c>
      <c r="M7" s="5">
        <f>MAX(0,COUNTIF('Attendance Sheet'!D7:AH7,"L")-E7-H7-K7)</f>
        <v>0</v>
      </c>
      <c r="N7" s="5">
        <f t="shared" si="3"/>
        <v>39</v>
      </c>
      <c r="O7" s="5">
        <f t="shared" si="4"/>
        <v>0</v>
      </c>
      <c r="P7" s="5">
        <f t="shared" si="5"/>
        <v>39</v>
      </c>
      <c r="Q7" s="5" t="str">
        <f t="shared" si="6"/>
        <v>✅ Healthy</v>
      </c>
      <c r="R7" s="5"/>
    </row>
    <row r="8" spans="1:18">
      <c r="A8" s="24" t="str">
        <f>'Employee Master'!A7</f>
        <v>EMP005</v>
      </c>
      <c r="B8" s="24" t="str">
        <f>'Employee Master'!B7</f>
        <v>Anbu K</v>
      </c>
      <c r="C8" s="24" t="str">
        <f>'Employee Master'!C7</f>
        <v>Security</v>
      </c>
      <c r="D8" s="24">
        <v>12</v>
      </c>
      <c r="E8" s="24">
        <f>MIN(COUNTIF('Attendance Sheet'!D8:AH8,"L"),D8)</f>
        <v>0</v>
      </c>
      <c r="F8" s="24">
        <f t="shared" si="0"/>
        <v>12</v>
      </c>
      <c r="G8" s="24">
        <v>12</v>
      </c>
      <c r="H8" s="24">
        <f>MAX(0,MIN(COUNTIF('Attendance Sheet'!D8:AH8,"L")-E8,G8))</f>
        <v>0</v>
      </c>
      <c r="I8" s="24">
        <f t="shared" si="1"/>
        <v>12</v>
      </c>
      <c r="J8" s="24">
        <v>15</v>
      </c>
      <c r="K8" s="24">
        <f>MAX(0,MIN(COUNTIF('Attendance Sheet'!D8:AH8,"L")-E8-H8,J8))</f>
        <v>0</v>
      </c>
      <c r="L8" s="24">
        <f t="shared" si="2"/>
        <v>15</v>
      </c>
      <c r="M8" s="24">
        <f>MAX(0,COUNTIF('Attendance Sheet'!D8:AH8,"L")-E8-H8-K8)</f>
        <v>0</v>
      </c>
      <c r="N8" s="24">
        <f t="shared" si="3"/>
        <v>39</v>
      </c>
      <c r="O8" s="24">
        <f t="shared" si="4"/>
        <v>0</v>
      </c>
      <c r="P8" s="24">
        <f t="shared" si="5"/>
        <v>39</v>
      </c>
      <c r="Q8" s="24" t="str">
        <f t="shared" si="6"/>
        <v>✅ Healthy</v>
      </c>
      <c r="R8" s="24"/>
    </row>
    <row r="9" spans="1:18">
      <c r="A9" s="5" t="str">
        <f>'Employee Master'!A8</f>
        <v>EMP006</v>
      </c>
      <c r="B9" s="5" t="str">
        <f>'Employee Master'!B8</f>
        <v>Meena R</v>
      </c>
      <c r="C9" s="5" t="str">
        <f>'Employee Master'!C8</f>
        <v>Pharmacy</v>
      </c>
      <c r="D9" s="5">
        <v>12</v>
      </c>
      <c r="E9" s="5">
        <f>MIN(COUNTIF('Attendance Sheet'!D9:AH9,"L"),D9)</f>
        <v>0</v>
      </c>
      <c r="F9" s="5">
        <f t="shared" si="0"/>
        <v>12</v>
      </c>
      <c r="G9" s="5">
        <v>12</v>
      </c>
      <c r="H9" s="5">
        <f>MAX(0,MIN(COUNTIF('Attendance Sheet'!D9:AH9,"L")-E9,G9))</f>
        <v>0</v>
      </c>
      <c r="I9" s="5">
        <f t="shared" si="1"/>
        <v>12</v>
      </c>
      <c r="J9" s="5">
        <v>15</v>
      </c>
      <c r="K9" s="5">
        <f>MAX(0,MIN(COUNTIF('Attendance Sheet'!D9:AH9,"L")-E9-H9,J9))</f>
        <v>0</v>
      </c>
      <c r="L9" s="5">
        <f t="shared" si="2"/>
        <v>15</v>
      </c>
      <c r="M9" s="5">
        <f>MAX(0,COUNTIF('Attendance Sheet'!D9:AH9,"L")-E9-H9-K9)</f>
        <v>0</v>
      </c>
      <c r="N9" s="5">
        <f t="shared" si="3"/>
        <v>39</v>
      </c>
      <c r="O9" s="5">
        <f t="shared" si="4"/>
        <v>0</v>
      </c>
      <c r="P9" s="5">
        <f t="shared" si="5"/>
        <v>39</v>
      </c>
      <c r="Q9" s="5" t="str">
        <f t="shared" si="6"/>
        <v>✅ Healthy</v>
      </c>
      <c r="R9" s="5"/>
    </row>
    <row r="10" spans="1:18">
      <c r="A10" s="24" t="str">
        <f>'Employee Master'!A9</f>
        <v>EMP007</v>
      </c>
      <c r="B10" s="24" t="str">
        <f>'Employee Master'!B9</f>
        <v>Vijay T</v>
      </c>
      <c r="C10" s="24" t="str">
        <f>'Employee Master'!C9</f>
        <v>Housekeeping</v>
      </c>
      <c r="D10" s="24">
        <v>12</v>
      </c>
      <c r="E10" s="24">
        <f>MIN(COUNTIF('Attendance Sheet'!D10:AH10,"L"),D10)</f>
        <v>2</v>
      </c>
      <c r="F10" s="24">
        <f t="shared" si="0"/>
        <v>10</v>
      </c>
      <c r="G10" s="24">
        <v>12</v>
      </c>
      <c r="H10" s="24">
        <f>MAX(0,MIN(COUNTIF('Attendance Sheet'!D10:AH10,"L")-E10,G10))</f>
        <v>0</v>
      </c>
      <c r="I10" s="24">
        <f t="shared" si="1"/>
        <v>12</v>
      </c>
      <c r="J10" s="24">
        <v>15</v>
      </c>
      <c r="K10" s="24">
        <f>MAX(0,MIN(COUNTIF('Attendance Sheet'!D10:AH10,"L")-E10-H10,J10))</f>
        <v>0</v>
      </c>
      <c r="L10" s="24">
        <f t="shared" si="2"/>
        <v>15</v>
      </c>
      <c r="M10" s="24">
        <f>MAX(0,COUNTIF('Attendance Sheet'!D10:AH10,"L")-E10-H10-K10)</f>
        <v>0</v>
      </c>
      <c r="N10" s="24">
        <f t="shared" si="3"/>
        <v>39</v>
      </c>
      <c r="O10" s="24">
        <f t="shared" si="4"/>
        <v>2</v>
      </c>
      <c r="P10" s="24">
        <f t="shared" si="5"/>
        <v>37</v>
      </c>
      <c r="Q10" s="24" t="str">
        <f t="shared" si="6"/>
        <v>✅ Healthy</v>
      </c>
      <c r="R10" s="24"/>
    </row>
    <row r="11" spans="1:18">
      <c r="A11" s="5" t="str">
        <f>'Employee Master'!A10</f>
        <v>EMP008</v>
      </c>
      <c r="B11" s="5" t="str">
        <f>'Employee Master'!B10</f>
        <v>Divya L</v>
      </c>
      <c r="C11" s="5" t="str">
        <f>'Employee Master'!C10</f>
        <v>Administration</v>
      </c>
      <c r="D11" s="5">
        <v>12</v>
      </c>
      <c r="E11" s="5">
        <f>MIN(COUNTIF('Attendance Sheet'!D11:AH11,"L"),D11)</f>
        <v>0</v>
      </c>
      <c r="F11" s="5">
        <f t="shared" si="0"/>
        <v>12</v>
      </c>
      <c r="G11" s="5">
        <v>12</v>
      </c>
      <c r="H11" s="5">
        <f>MAX(0,MIN(COUNTIF('Attendance Sheet'!D11:AH11,"L")-E11,G11))</f>
        <v>0</v>
      </c>
      <c r="I11" s="5">
        <f t="shared" si="1"/>
        <v>12</v>
      </c>
      <c r="J11" s="5">
        <v>15</v>
      </c>
      <c r="K11" s="5">
        <f>MAX(0,MIN(COUNTIF('Attendance Sheet'!D11:AH11,"L")-E11-H11,J11))</f>
        <v>0</v>
      </c>
      <c r="L11" s="5">
        <f t="shared" si="2"/>
        <v>15</v>
      </c>
      <c r="M11" s="5">
        <f>MAX(0,COUNTIF('Attendance Sheet'!D11:AH11,"L")-E11-H11-K11)</f>
        <v>0</v>
      </c>
      <c r="N11" s="5">
        <f t="shared" si="3"/>
        <v>39</v>
      </c>
      <c r="O11" s="5">
        <f t="shared" si="4"/>
        <v>0</v>
      </c>
      <c r="P11" s="5">
        <f t="shared" si="5"/>
        <v>39</v>
      </c>
      <c r="Q11" s="5" t="str">
        <f t="shared" si="6"/>
        <v>✅ Healthy</v>
      </c>
      <c r="R11" s="5"/>
    </row>
    <row r="12" spans="1:18">
      <c r="A12" s="24" t="str">
        <f>'Employee Master'!A11</f>
        <v>EMP009</v>
      </c>
      <c r="B12" s="24" t="str">
        <f>'Employee Master'!B11</f>
        <v>Arun B</v>
      </c>
      <c r="C12" s="24" t="str">
        <f>'Employee Master'!C11</f>
        <v>Nursing</v>
      </c>
      <c r="D12" s="24">
        <v>12</v>
      </c>
      <c r="E12" s="24">
        <f>MIN(COUNTIF('Attendance Sheet'!D12:AH12,"L"),D12)</f>
        <v>0</v>
      </c>
      <c r="F12" s="24">
        <f t="shared" si="0"/>
        <v>12</v>
      </c>
      <c r="G12" s="24">
        <v>12</v>
      </c>
      <c r="H12" s="24">
        <f>MAX(0,MIN(COUNTIF('Attendance Sheet'!D12:AH12,"L")-E12,G12))</f>
        <v>0</v>
      </c>
      <c r="I12" s="24">
        <f t="shared" si="1"/>
        <v>12</v>
      </c>
      <c r="J12" s="24">
        <v>15</v>
      </c>
      <c r="K12" s="24">
        <f>MAX(0,MIN(COUNTIF('Attendance Sheet'!D12:AH12,"L")-E12-H12,J12))</f>
        <v>0</v>
      </c>
      <c r="L12" s="24">
        <f t="shared" si="2"/>
        <v>15</v>
      </c>
      <c r="M12" s="24">
        <f>MAX(0,COUNTIF('Attendance Sheet'!D12:AH12,"L")-E12-H12-K12)</f>
        <v>0</v>
      </c>
      <c r="N12" s="24">
        <f t="shared" si="3"/>
        <v>39</v>
      </c>
      <c r="O12" s="24">
        <f t="shared" si="4"/>
        <v>0</v>
      </c>
      <c r="P12" s="24">
        <f t="shared" si="5"/>
        <v>39</v>
      </c>
      <c r="Q12" s="24" t="str">
        <f t="shared" si="6"/>
        <v>✅ Healthy</v>
      </c>
      <c r="R12" s="24"/>
    </row>
    <row r="13" spans="1:18">
      <c r="A13" s="5" t="str">
        <f>'Employee Master'!A12</f>
        <v>EMP010</v>
      </c>
      <c r="B13" s="5" t="str">
        <f>'Employee Master'!B12</f>
        <v>Lakshmi V</v>
      </c>
      <c r="C13" s="5" t="str">
        <f>'Employee Master'!C12</f>
        <v>Lab</v>
      </c>
      <c r="D13" s="5">
        <v>12</v>
      </c>
      <c r="E13" s="5">
        <f>MIN(COUNTIF('Attendance Sheet'!D13:AH13,"L"),D13)</f>
        <v>0</v>
      </c>
      <c r="F13" s="5">
        <f t="shared" si="0"/>
        <v>12</v>
      </c>
      <c r="G13" s="5">
        <v>12</v>
      </c>
      <c r="H13" s="5">
        <f>MAX(0,MIN(COUNTIF('Attendance Sheet'!D13:AH13,"L")-E13,G13))</f>
        <v>0</v>
      </c>
      <c r="I13" s="5">
        <f t="shared" si="1"/>
        <v>12</v>
      </c>
      <c r="J13" s="5">
        <v>15</v>
      </c>
      <c r="K13" s="5">
        <f>MAX(0,MIN(COUNTIF('Attendance Sheet'!D13:AH13,"L")-E13-H13,J13))</f>
        <v>0</v>
      </c>
      <c r="L13" s="5">
        <f t="shared" si="2"/>
        <v>15</v>
      </c>
      <c r="M13" s="5">
        <f>MAX(0,COUNTIF('Attendance Sheet'!D13:AH13,"L")-E13-H13-K13)</f>
        <v>0</v>
      </c>
      <c r="N13" s="5">
        <f t="shared" si="3"/>
        <v>39</v>
      </c>
      <c r="O13" s="5">
        <f t="shared" si="4"/>
        <v>0</v>
      </c>
      <c r="P13" s="5">
        <f t="shared" si="5"/>
        <v>39</v>
      </c>
      <c r="Q13" s="5" t="str">
        <f t="shared" si="6"/>
        <v>✅ Healthy</v>
      </c>
      <c r="R13" s="5"/>
    </row>
    <row r="14" spans="1:18">
      <c r="A14" s="23" t="s">
        <v>101</v>
      </c>
      <c r="B14" s="23"/>
      <c r="C14" s="23"/>
      <c r="D14" s="25"/>
      <c r="E14" s="25">
        <f>SUM(E4:E13)</f>
        <v>3</v>
      </c>
      <c r="F14" s="25"/>
      <c r="G14" s="25"/>
      <c r="H14" s="25">
        <f>SUM(H4:H13)</f>
        <v>0</v>
      </c>
      <c r="I14" s="25"/>
      <c r="J14" s="25"/>
      <c r="K14" s="25">
        <f>SUM(K4:K13)</f>
        <v>0</v>
      </c>
      <c r="L14" s="25"/>
      <c r="M14" s="25">
        <f>SUM(M4:M13)</f>
        <v>0</v>
      </c>
      <c r="N14" s="25"/>
      <c r="O14" s="25">
        <f>SUM(O4:O13)</f>
        <v>3</v>
      </c>
      <c r="P14" s="25">
        <f>SUM(P4:P13)</f>
        <v>387</v>
      </c>
      <c r="Q14" s="25"/>
      <c r="R14" s="25"/>
    </row>
    <row r="16" spans="1:18" ht="15.6">
      <c r="A16" s="26" t="s">
        <v>102</v>
      </c>
    </row>
    <row r="17" spans="1:18">
      <c r="A17" s="28" t="s">
        <v>103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30"/>
    </row>
  </sheetData>
  <mergeCells count="4">
    <mergeCell ref="A1:R1"/>
    <mergeCell ref="A2:R2"/>
    <mergeCell ref="A14:C14"/>
    <mergeCell ref="A17:R17"/>
  </mergeCells>
  <conditionalFormatting sqref="Q4:Q13">
    <cfRule type="containsText" dxfId="4" priority="7" operator="containsText" text="Healthy">
      <formula>NOT(ISERROR(SEARCH("Healthy",Q4)))</formula>
    </cfRule>
    <cfRule type="containsText" dxfId="5" priority="6" operator="containsText" text="Low">
      <formula>NOT(ISERROR(SEARCH("Low",Q4)))</formula>
    </cfRule>
    <cfRule type="containsText" dxfId="6" priority="5" operator="containsText" text="Critical">
      <formula>NOT(ISERROR(SEARCH("Critical",Q4)))</formula>
    </cfRule>
    <cfRule type="containsText" dxfId="3" priority="4" operator="containsText" text="Exhausted">
      <formula>NOT(ISERROR(SEARCH("Exhausted",Q4)))</formula>
    </cfRule>
  </conditionalFormatting>
  <conditionalFormatting sqref="F4:F13">
    <cfRule type="cellIs" dxfId="2" priority="3" operator="lessThan">
      <formula>4</formula>
    </cfRule>
  </conditionalFormatting>
  <conditionalFormatting sqref="I4:I13">
    <cfRule type="cellIs" dxfId="1" priority="2" operator="lessThan">
      <formula>4</formula>
    </cfRule>
  </conditionalFormatting>
  <conditionalFormatting sqref="L4:L13">
    <cfRule type="cellIs" dxfId="0" priority="1" operator="lessThan">
      <formula>4</formula>
    </cfRule>
  </conditionalFormatting>
  <dataValidations count="1">
    <dataValidation type="list" allowBlank="1" showInputMessage="1" showErrorMessage="1" sqref="R4:R13" xr:uid="{CE34D887-E667-4706-81D3-35E502A9C10F}">
      <formula1>"No remarks,Excess leave taken,Medical leave approved,Leave without approval,LOP applicable,Performance watch"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3C53-B864-4CDB-9100-6B428329B546}">
  <sheetPr>
    <tabColor rgb="FF7030A0"/>
  </sheetPr>
  <dimension ref="A1:N18"/>
  <sheetViews>
    <sheetView showGridLines="0" tabSelected="1" workbookViewId="0">
      <selection activeCell="D14" sqref="D14"/>
    </sheetView>
  </sheetViews>
  <sheetFormatPr defaultRowHeight="14.4"/>
  <cols>
    <col min="1" max="1" width="14.88671875" bestFit="1" customWidth="1"/>
    <col min="2" max="2" width="20.77734375" customWidth="1"/>
    <col min="4" max="4" width="20.77734375" customWidth="1"/>
    <col min="5" max="5" width="9.6640625" bestFit="1" customWidth="1"/>
    <col min="6" max="6" width="20.77734375" customWidth="1"/>
    <col min="7" max="7" width="12.88671875" bestFit="1" customWidth="1"/>
    <col min="8" max="8" width="20.77734375" customWidth="1"/>
  </cols>
  <sheetData>
    <row r="1" spans="1:14" ht="40.049999999999997" customHeight="1">
      <c r="A1" s="32" t="s">
        <v>104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9.95" customHeight="1">
      <c r="A2" s="27" t="s">
        <v>105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spans="1:14" ht="25.05" customHeight="1">
      <c r="B4" s="35" t="s">
        <v>106</v>
      </c>
      <c r="D4" s="37" t="s">
        <v>107</v>
      </c>
      <c r="F4" s="31" t="s">
        <v>108</v>
      </c>
      <c r="H4" s="40" t="s">
        <v>109</v>
      </c>
    </row>
    <row r="5" spans="1:14" ht="45" customHeight="1">
      <c r="B5" s="36">
        <f>COUNTA('Employee Master'!B3:B22)</f>
        <v>10</v>
      </c>
      <c r="D5" s="38" t="str">
        <f>ROUND(AVERAGE('Attendance Sheet'!AO4:AO13),1)&amp;"%"</f>
        <v>96%</v>
      </c>
      <c r="F5" s="39">
        <f>SUM('Leave Tracker'!O4:O13)</f>
        <v>3</v>
      </c>
      <c r="H5" s="41">
        <f>SUM('Leave Tracker'!M4:M13)</f>
        <v>0</v>
      </c>
    </row>
    <row r="7" spans="1:14" ht="15" thickBot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</row>
    <row r="8" spans="1:14">
      <c r="A8" s="33" t="s">
        <v>2</v>
      </c>
      <c r="B8" s="33" t="s">
        <v>72</v>
      </c>
      <c r="D8" s="22" t="s">
        <v>110</v>
      </c>
      <c r="E8" s="22" t="s">
        <v>111</v>
      </c>
      <c r="G8" s="43" t="s">
        <v>3</v>
      </c>
      <c r="H8" s="43" t="s">
        <v>116</v>
      </c>
    </row>
    <row r="9" spans="1:14">
      <c r="A9" t="str">
        <f>'Attendance Sheet'!B4</f>
        <v>Ramya S</v>
      </c>
      <c r="B9">
        <f>VALUE(SUBSTITUTE('Attendance Sheet'!AO4,"%",""))</f>
        <v>93.3</v>
      </c>
      <c r="D9" t="s">
        <v>112</v>
      </c>
      <c r="E9" s="15">
        <f>SUM('Leave Tracker'!E4:E13)</f>
        <v>3</v>
      </c>
      <c r="G9" t="s">
        <v>50</v>
      </c>
      <c r="H9">
        <f>AVERAGEIF('Attendance Sheet'!C4:C13,"Administration",'Attendance Sheet'!AO4:AO13)</f>
        <v>100</v>
      </c>
    </row>
    <row r="10" spans="1:14">
      <c r="A10" t="str">
        <f>'Attendance Sheet'!B5</f>
        <v>Karthik M</v>
      </c>
      <c r="B10">
        <f>VALUE(SUBSTITUTE('Attendance Sheet'!AO5,"%",""))</f>
        <v>100</v>
      </c>
      <c r="D10" t="s">
        <v>113</v>
      </c>
      <c r="E10">
        <f>SUM('Leave Tracker'!H4:H13)</f>
        <v>0</v>
      </c>
      <c r="G10" t="s">
        <v>24</v>
      </c>
      <c r="H10">
        <f>AVERAGEIF('Attendance Sheet'!C4:C13,"HR",'Attendance Sheet'!AO4:AO13)</f>
        <v>93.3</v>
      </c>
    </row>
    <row r="11" spans="1:14">
      <c r="A11" t="str">
        <f>'Attendance Sheet'!B6</f>
        <v>Preethi N</v>
      </c>
      <c r="B11" s="15">
        <f>VALUE(SUBSTITUTE('Attendance Sheet'!AO6,"%",""))</f>
        <v>93.3</v>
      </c>
      <c r="D11" t="s">
        <v>114</v>
      </c>
      <c r="E11">
        <f>SUM('Leave Tracker'!K4:K13)</f>
        <v>0</v>
      </c>
      <c r="G11" t="s">
        <v>12</v>
      </c>
      <c r="H11">
        <f>AVERAGEIF('Attendance Sheet'!C4:C13,"Nursing",'Attendance Sheet'!AO4:AO13)</f>
        <v>93.3</v>
      </c>
    </row>
    <row r="12" spans="1:14">
      <c r="A12" t="str">
        <f>'Attendance Sheet'!B7</f>
        <v>Suresh P</v>
      </c>
      <c r="B12" s="15">
        <f>VALUE(SUBSTITUTE('Attendance Sheet'!AO7,"%",""))</f>
        <v>100</v>
      </c>
      <c r="D12" t="s">
        <v>115</v>
      </c>
      <c r="E12">
        <f>SUM('Leave Tracker'!M4:M13)</f>
        <v>0</v>
      </c>
      <c r="G12" t="s">
        <v>19</v>
      </c>
      <c r="H12">
        <f>AVERAGEIF('Attendance Sheet'!C4:C13,"Lab",'Attendance Sheet'!AO4:AO13)</f>
        <v>100</v>
      </c>
    </row>
    <row r="13" spans="1:14">
      <c r="A13" t="str">
        <f>'Attendance Sheet'!B8</f>
        <v>Anbu K</v>
      </c>
      <c r="B13">
        <f>VALUE(SUBSTITUTE('Attendance Sheet'!AO8,"%",""))</f>
        <v>93.3</v>
      </c>
      <c r="G13" t="s">
        <v>40</v>
      </c>
      <c r="H13">
        <f>AVERAGEIF('Attendance Sheet'!C4:C13,"Pharmacy",'Attendance Sheet'!AO4:AO13)</f>
        <v>100</v>
      </c>
    </row>
    <row r="14" spans="1:14">
      <c r="A14" t="str">
        <f>'Attendance Sheet'!B9</f>
        <v>Meena R</v>
      </c>
      <c r="B14">
        <f>VALUE(SUBSTITUTE('Attendance Sheet'!AO9,"%",""))</f>
        <v>100</v>
      </c>
    </row>
    <row r="15" spans="1:14">
      <c r="A15" t="str">
        <f>'Attendance Sheet'!B10</f>
        <v>Vijay T</v>
      </c>
      <c r="B15">
        <f>VALUE(SUBSTITUTE('Attendance Sheet'!AO10,"%",""))</f>
        <v>86.7</v>
      </c>
    </row>
    <row r="16" spans="1:14">
      <c r="A16" t="str">
        <f>'Attendance Sheet'!B11</f>
        <v>Divya L</v>
      </c>
      <c r="B16">
        <f>VALUE(SUBSTITUTE('Attendance Sheet'!AO11,"%",""))</f>
        <v>100</v>
      </c>
    </row>
    <row r="17" spans="1:2">
      <c r="A17" t="str">
        <f>'Attendance Sheet'!B12</f>
        <v>Arun B</v>
      </c>
      <c r="B17">
        <f>VALUE(SUBSTITUTE('Attendance Sheet'!AO12,"%",""))</f>
        <v>93.3</v>
      </c>
    </row>
    <row r="18" spans="1:2">
      <c r="A18" t="str">
        <f>'Attendance Sheet'!B13</f>
        <v>Lakshmi V</v>
      </c>
      <c r="B18" s="42">
        <f>VALUE(SUBSTITUTE('Attendance Sheet'!AO13,"%",""))</f>
        <v>100</v>
      </c>
    </row>
  </sheetData>
  <sheetProtection algorithmName="SHA-512" hashValue="IWfvVnXdJJe4F3oxfWiR/bt+jXpTJCxyOkchvh/XFsxz3Osp+365iTM3vW483vVDhVf/0Icbjr3zxKdiWQqL9w==" saltValue="6qKMpNe60By2wGUOr0pCOQ==" spinCount="100000" sheet="1" objects="1" scenarios="1"/>
  <mergeCells count="2">
    <mergeCell ref="A1:N1"/>
    <mergeCell ref="A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Master</vt:lpstr>
      <vt:lpstr>Attendance Sheet</vt:lpstr>
      <vt:lpstr>Leave Tracker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Yukesh S</dc:creator>
  <cp:lastModifiedBy>Yukesh S</cp:lastModifiedBy>
  <dcterms:created xsi:type="dcterms:W3CDTF">2026-05-31T17:20:52Z</dcterms:created>
  <dcterms:modified xsi:type="dcterms:W3CDTF">2026-05-31T19:09:24Z</dcterms:modified>
</cp:coreProperties>
</file>